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 - Senate" sheetId="1" r:id="rId5"/>
    <sheet state="visible" name="Public - Senate Career Staff Pl" sheetId="2" r:id="rId6"/>
    <sheet state="visible" name="Public - Senate Student Staff P" sheetId="3" r:id="rId7"/>
  </sheets>
  <definedNames/>
  <calcPr/>
</workbook>
</file>

<file path=xl/sharedStrings.xml><?xml version="1.0" encoding="utf-8"?>
<sst xmlns="http://schemas.openxmlformats.org/spreadsheetml/2006/main" count="427" uniqueCount="186">
  <si>
    <t>AS Account Number</t>
  </si>
  <si>
    <t>230/315</t>
  </si>
  <si>
    <t>240/450</t>
  </si>
  <si>
    <t>300/301</t>
  </si>
  <si>
    <t>323/423</t>
  </si>
  <si>
    <t>339/452</t>
  </si>
  <si>
    <t>Department/Entity</t>
  </si>
  <si>
    <t>Administration</t>
  </si>
  <si>
    <t>FC RECOMMENDATION</t>
  </si>
  <si>
    <t>PRESIDENT RECOMMENDATION</t>
  </si>
  <si>
    <t>SENATE RECOMMENDATION</t>
  </si>
  <si>
    <t>A.S. Marketing &amp; Public Relations</t>
  </si>
  <si>
    <t>A.S. Staff Salaries</t>
  </si>
  <si>
    <t>A.S. Main Office</t>
  </si>
  <si>
    <t>A.S. Annex</t>
  </si>
  <si>
    <t>Pardall Center</t>
  </si>
  <si>
    <t>A.S. Tech Support</t>
  </si>
  <si>
    <t>University Recharge</t>
  </si>
  <si>
    <t>Living History Project</t>
  </si>
  <si>
    <t>A.S. Bike Shop</t>
  </si>
  <si>
    <t>A.S. Cashiers &amp; Ticket Office</t>
  </si>
  <si>
    <t>KCSB FM</t>
  </si>
  <si>
    <t>A.S. Creative Media Unit</t>
  </si>
  <si>
    <t>A.S. Food Bank</t>
  </si>
  <si>
    <t>A.S. Publications</t>
  </si>
  <si>
    <t>A.S. Program Board</t>
  </si>
  <si>
    <t>A.S. Bike Committee</t>
  </si>
  <si>
    <t>The Bottom Line</t>
  </si>
  <si>
    <t>Childcare</t>
  </si>
  <si>
    <t>Community Affairs Board</t>
  </si>
  <si>
    <t>Community Financial Fund</t>
  </si>
  <si>
    <t>The Daily Nexus</t>
  </si>
  <si>
    <t>Environmental Affairs Board</t>
  </si>
  <si>
    <t>Educational Opportunity Program</t>
  </si>
  <si>
    <t>A.S.Commission on Student Well-Being</t>
  </si>
  <si>
    <t>F&amp;B (Finance Committee Fund)</t>
  </si>
  <si>
    <t>Isla Vista Community Relations Committee</t>
  </si>
  <si>
    <t>Isla Vista Tenants Union</t>
  </si>
  <si>
    <t>Legal Resource Center</t>
  </si>
  <si>
    <t>Parking</t>
  </si>
  <si>
    <t>A.S. Recycling</t>
  </si>
  <si>
    <t>A.S. Student Commission on Racial Equality</t>
  </si>
  <si>
    <t>Coastal Fund</t>
  </si>
  <si>
    <t>A.S. Trans &amp; Queer Commission</t>
  </si>
  <si>
    <t>Commission on Marginalized Genders</t>
  </si>
  <si>
    <t>Take Back the Night</t>
  </si>
  <si>
    <t>A.S. Department of Public Worms</t>
  </si>
  <si>
    <t>Raíces de mi Tierra</t>
  </si>
  <si>
    <t>A.S. Internal Vice-President</t>
  </si>
  <si>
    <t>High Impact Projects</t>
  </si>
  <si>
    <t>A.S. Office of the President</t>
  </si>
  <si>
    <t>A.S. Attorney General</t>
  </si>
  <si>
    <t>Business Services/Office of the Controller</t>
  </si>
  <si>
    <t>Black Women's Health Collaborative</t>
  </si>
  <si>
    <t>A.S. Book Bank</t>
  </si>
  <si>
    <t>A.S. Commission on Disability Equity</t>
  </si>
  <si>
    <t>A.S. Committee on Committees</t>
  </si>
  <si>
    <t>University of California Isla Vista</t>
  </si>
  <si>
    <t>A.S. Jewish Commission</t>
  </si>
  <si>
    <t>A.S. Elections</t>
  </si>
  <si>
    <t>Environmental Justice Alliance</t>
  </si>
  <si>
    <t>Global Gaucho Committee</t>
  </si>
  <si>
    <t>Human Rights Board</t>
  </si>
  <si>
    <t>Investment Advisory Committee</t>
  </si>
  <si>
    <t>A.S. Judicial Council</t>
  </si>
  <si>
    <t>A.S. Public &amp; Mental Health Committee</t>
  </si>
  <si>
    <t>A.S. Senate</t>
  </si>
  <si>
    <t>External Affairs Committee (Senate Outreach)</t>
  </si>
  <si>
    <t>Senate Liasion (Internal Affairs Committee)</t>
  </si>
  <si>
    <t>Senate Advocacy Committee (Basic Needs)</t>
  </si>
  <si>
    <t>Zero Waste Committee</t>
  </si>
  <si>
    <t>A.S. Student Advocate General</t>
  </si>
  <si>
    <t>Lobby Corps</t>
  </si>
  <si>
    <t>Transfer Student Alliance</t>
  </si>
  <si>
    <t>A.S. External Vice-President of Local Affairs</t>
  </si>
  <si>
    <t>A.S. External Vice-President of Statewide Affairs</t>
  </si>
  <si>
    <t>Executive Honoraria</t>
  </si>
  <si>
    <t>America Reads</t>
  </si>
  <si>
    <t>Strategic Operations Office</t>
  </si>
  <si>
    <t>Executive Director</t>
  </si>
  <si>
    <t>Leadership</t>
  </si>
  <si>
    <t>2026-27</t>
  </si>
  <si>
    <t>Request/Lock-In $s</t>
  </si>
  <si>
    <t>Additional Lock-In Request $s</t>
  </si>
  <si>
    <t>Legal Code Required $s</t>
  </si>
  <si>
    <t>Non-Lock-In O/E $s</t>
  </si>
  <si>
    <t>Over-Enrollment Expected</t>
  </si>
  <si>
    <t>Income Expected</t>
  </si>
  <si>
    <t>-</t>
  </si>
  <si>
    <t>$ -</t>
  </si>
  <si>
    <t>Total Expected Funds</t>
  </si>
  <si>
    <t>Alloc %</t>
  </si>
  <si>
    <t>6000 - Contractors (I/C)</t>
  </si>
  <si>
    <t>6100 - Misc Stipends</t>
  </si>
  <si>
    <t>6200 - Career Staff (Lock-In Minimum %)</t>
  </si>
  <si>
    <t>6200 - Career Staff (Non-Lock-In Minimum %)</t>
  </si>
  <si>
    <t>6500 - Work Study</t>
  </si>
  <si>
    <t>6600 - General Assistance</t>
  </si>
  <si>
    <t>6700 - Grants</t>
  </si>
  <si>
    <t>7000.00 - Unallocated (red indicates rollover/income usage)</t>
  </si>
  <si>
    <t>7000.01 - Communication &amp; Technology</t>
  </si>
  <si>
    <t>7000.02 - Marketing &amp; Advertising</t>
  </si>
  <si>
    <t>7000.03 - Rental &amp; Leases</t>
  </si>
  <si>
    <t>7000.04 - Furniture &amp; Equipment</t>
  </si>
  <si>
    <t>7000.05 - Utilities</t>
  </si>
  <si>
    <t>7000.06 - Subscriptions</t>
  </si>
  <si>
    <t>7000.07 - Printing &amp; Duplicating</t>
  </si>
  <si>
    <t>7000.08 - Misc (Incl. Loans)</t>
  </si>
  <si>
    <t>7000.09 - Supplies</t>
  </si>
  <si>
    <t>7000.10 - Transportation</t>
  </si>
  <si>
    <t>7000.11 - Maintenance &amp; Repairs</t>
  </si>
  <si>
    <t>7001 - Food</t>
  </si>
  <si>
    <t>7100 - Honoraria</t>
  </si>
  <si>
    <t>7200 - Contracts</t>
  </si>
  <si>
    <t>7800 - Travel &amp; Conferences</t>
  </si>
  <si>
    <t>7900 - Special Projects</t>
  </si>
  <si>
    <t>7901 - Grant Projects</t>
  </si>
  <si>
    <t>7910 - Allocations</t>
  </si>
  <si>
    <t>9999 - N/A (Reserved)</t>
  </si>
  <si>
    <t>8600 - AS Admin Fees</t>
  </si>
  <si>
    <t>Total Expenses</t>
  </si>
  <si>
    <t>BCU FY27 ALLOCATIONS</t>
  </si>
  <si>
    <t>STAFF FY27 BALANCE SHEET</t>
  </si>
  <si>
    <t>SENATE FY27 STAFF RECOMMENDATION</t>
  </si>
  <si>
    <t>BCUs</t>
  </si>
  <si>
    <t>Total Staff Allocation</t>
  </si>
  <si>
    <t>Allocation %</t>
  </si>
  <si>
    <t>Line Item</t>
  </si>
  <si>
    <t>Amount</t>
  </si>
  <si>
    <t>Expense</t>
  </si>
  <si>
    <t>DPW</t>
  </si>
  <si>
    <t>Base Acct #125 - Staff Budget</t>
  </si>
  <si>
    <t>36 Existing Staff Members</t>
  </si>
  <si>
    <t>LRC</t>
  </si>
  <si>
    <t>Lock-In Allocations</t>
  </si>
  <si>
    <t>13 Staff Hires</t>
  </si>
  <si>
    <t>IVTU</t>
  </si>
  <si>
    <t>Non-Lock-In Allocations</t>
  </si>
  <si>
    <t>Staff Insurance</t>
  </si>
  <si>
    <t>ASPB</t>
  </si>
  <si>
    <t>Available Budget</t>
  </si>
  <si>
    <t>Total</t>
  </si>
  <si>
    <t>ASFB</t>
  </si>
  <si>
    <t>KCSB</t>
  </si>
  <si>
    <t>Existing Staff Expenses</t>
  </si>
  <si>
    <t>PARDALL</t>
  </si>
  <si>
    <t>New Hires Expenses</t>
  </si>
  <si>
    <t>IVCRC</t>
  </si>
  <si>
    <t>Insurance</t>
  </si>
  <si>
    <t>RYCL</t>
  </si>
  <si>
    <t>Forecasted Expenses</t>
  </si>
  <si>
    <t>CFF</t>
  </si>
  <si>
    <t>BIKE SHOP</t>
  </si>
  <si>
    <t>Balance</t>
  </si>
  <si>
    <t>TBL</t>
  </si>
  <si>
    <t>CAB</t>
  </si>
  <si>
    <t>TQCOM</t>
  </si>
  <si>
    <t>EAB</t>
  </si>
  <si>
    <t>EOP</t>
  </si>
  <si>
    <t>COSWB</t>
  </si>
  <si>
    <t>SCORE</t>
  </si>
  <si>
    <t>COAST</t>
  </si>
  <si>
    <t>TBTN</t>
  </si>
  <si>
    <t>CODE</t>
  </si>
  <si>
    <t>GGC</t>
  </si>
  <si>
    <t>MG</t>
  </si>
  <si>
    <t>FC</t>
  </si>
  <si>
    <t>Bike Comm</t>
  </si>
  <si>
    <t>Lock-In Total</t>
  </si>
  <si>
    <t>AS Non-Lock-In BCUs</t>
  </si>
  <si>
    <t>Grand Total</t>
  </si>
  <si>
    <t>STUDENT STAFF - SUMMARY BUDGET PLAN FY27 (Admin - 120)</t>
  </si>
  <si>
    <t>FinOps Budget</t>
  </si>
  <si>
    <t>Weeks AY</t>
  </si>
  <si>
    <t>Hrs Wk</t>
  </si>
  <si>
    <t>Ave Hr $</t>
  </si>
  <si>
    <t>Stdt Ave Hrs Wk</t>
  </si>
  <si>
    <t># Stdts Per Seat</t>
  </si>
  <si>
    <t>Seats</t>
  </si>
  <si>
    <t>Stdt #</t>
  </si>
  <si>
    <t>Admin Budget</t>
  </si>
  <si>
    <t>FinOps Summer Budget</t>
  </si>
  <si>
    <t>Summer Wks</t>
  </si>
  <si>
    <t>Admin Summer Budget</t>
  </si>
  <si>
    <t>FinOps Budget - Stdt Staff Activity Code Total</t>
  </si>
  <si>
    <t>Admin Srvc Budget - Stdt Staff Activity Code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</si>
</sst>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"/>
    <numFmt numFmtId="166" formatCode="_(&quot;$&quot;* #,##0_);_(&quot;$&quot;* \(#,##0\);_(&quot;$&quot;* &quot;-&quot;??_);_(@_)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C53929"/>
      <name val="Arial"/>
    </font>
    <font>
      <sz val="12.0"/>
      <color theme="1"/>
      <name val="Aptos Narrow"/>
    </font>
    <font>
      <b/>
      <sz val="11.0"/>
      <color theme="1"/>
      <name val="Calibri"/>
    </font>
    <font/>
    <font>
      <sz val="11.0"/>
      <color theme="1"/>
      <name val="Aptos Narrow"/>
    </font>
    <font>
      <color theme="1"/>
      <name val="Aptos Narrow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u/>
      <sz val="12.0"/>
      <color rgb="FF000000"/>
      <name val="Arial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2.0"/>
      <color rgb="FF000000"/>
      <name val="&quot;Aptos Narrow&quot;"/>
    </font>
    <font>
      <sz val="12.0"/>
      <color rgb="FF000000"/>
      <name val="&quot;Aptos Narrow&quot;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20">
    <border/>
    <border>
      <left/>
      <right/>
      <top/>
      <bottom/>
    </border>
    <border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top style="double">
        <color rgb="FF000000"/>
      </top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1" numFmtId="1" xfId="0" applyAlignment="1" applyFont="1" applyNumberFormat="1">
      <alignment horizontal="center" vertical="bottom"/>
    </xf>
    <xf borderId="1" fillId="2" fontId="1" numFmtId="1" xfId="0" applyAlignment="1" applyBorder="1" applyFill="1" applyFont="1" applyNumberFormat="1">
      <alignment horizontal="center" vertical="bottom"/>
    </xf>
    <xf borderId="0" fillId="2" fontId="1" numFmtId="1" xfId="0" applyAlignment="1" applyFont="1" applyNumberFormat="1">
      <alignment horizontal="center" vertical="bottom"/>
    </xf>
    <xf borderId="1" fillId="3" fontId="1" numFmtId="1" xfId="0" applyAlignment="1" applyBorder="1" applyFill="1" applyFont="1" applyNumberFormat="1">
      <alignment horizontal="center" vertical="bottom"/>
    </xf>
    <xf borderId="1" fillId="3" fontId="1" numFmtId="1" xfId="0" applyAlignment="1" applyBorder="1" applyFont="1" applyNumberFormat="1">
      <alignment horizontal="center"/>
    </xf>
    <xf borderId="1" fillId="2" fontId="1" numFmtId="1" xfId="0" applyAlignment="1" applyBorder="1" applyFont="1" applyNumberFormat="1">
      <alignment horizontal="center" readingOrder="0"/>
    </xf>
    <xf borderId="1" fillId="2" fontId="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1" fillId="0" fontId="1" numFmtId="164" xfId="0" applyAlignment="1" applyBorder="1" applyFont="1" applyNumberFormat="1">
      <alignment horizontal="center" readingOrder="0" shrinkToFit="0" wrapText="1"/>
    </xf>
    <xf borderId="1" fillId="2" fontId="1" numFmtId="164" xfId="0" applyAlignment="1" applyBorder="1" applyFont="1" applyNumberFormat="1">
      <alignment horizontal="center" shrinkToFit="0" wrapText="1"/>
    </xf>
    <xf borderId="0" fillId="0" fontId="3" numFmtId="0" xfId="0" applyFont="1"/>
    <xf borderId="0" fillId="0" fontId="3" numFmtId="164" xfId="0" applyAlignment="1" applyFont="1" applyNumberFormat="1">
      <alignment horizontal="left"/>
    </xf>
    <xf borderId="0" fillId="0" fontId="3" numFmtId="164" xfId="0" applyFont="1" applyNumberFormat="1"/>
    <xf borderId="1" fillId="2" fontId="3" numFmtId="164" xfId="0" applyBorder="1" applyFont="1" applyNumberFormat="1"/>
    <xf borderId="0" fillId="2" fontId="3" numFmtId="164" xfId="0" applyFont="1" applyNumberFormat="1"/>
    <xf borderId="1" fillId="0" fontId="3" numFmtId="164" xfId="0" applyBorder="1" applyFont="1" applyNumberForma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164" xfId="0" applyFont="1" applyNumberFormat="1"/>
    <xf borderId="1" fillId="2" fontId="6" numFmtId="164" xfId="0" applyBorder="1" applyFont="1" applyNumberFormat="1"/>
    <xf borderId="0" fillId="2" fontId="6" numFmtId="164" xfId="0" applyFont="1" applyNumberFormat="1"/>
    <xf borderId="1" fillId="4" fontId="6" numFmtId="164" xfId="0" applyBorder="1" applyFill="1" applyFont="1" applyNumberFormat="1"/>
    <xf borderId="0" fillId="0" fontId="4" numFmtId="0" xfId="0" applyAlignment="1" applyFont="1">
      <alignment horizontal="right"/>
    </xf>
    <xf borderId="2" fillId="0" fontId="6" numFmtId="164" xfId="0" applyBorder="1" applyFont="1" applyNumberFormat="1"/>
    <xf borderId="3" fillId="2" fontId="6" numFmtId="164" xfId="0" applyBorder="1" applyFont="1" applyNumberFormat="1"/>
    <xf borderId="3" fillId="0" fontId="6" numFmtId="164" xfId="0" applyBorder="1" applyFont="1" applyNumberFormat="1"/>
    <xf borderId="0" fillId="0" fontId="1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right"/>
    </xf>
    <xf borderId="1" fillId="4" fontId="3" numFmtId="164" xfId="0" applyBorder="1" applyFont="1" applyNumberFormat="1"/>
    <xf borderId="0" fillId="0" fontId="7" numFmtId="164" xfId="0" applyAlignment="1" applyFont="1" applyNumberFormat="1">
      <alignment horizontal="right"/>
    </xf>
    <xf borderId="0" fillId="0" fontId="3" numFmtId="9" xfId="0" applyAlignment="1" applyFont="1" applyNumberFormat="1">
      <alignment horizontal="center"/>
    </xf>
    <xf borderId="0" fillId="0" fontId="3" numFmtId="164" xfId="0" applyAlignment="1" applyFont="1" applyNumberFormat="1">
      <alignment readingOrder="0"/>
    </xf>
    <xf borderId="0" fillId="0" fontId="6" numFmtId="164" xfId="0" applyAlignment="1" applyFont="1" applyNumberFormat="1">
      <alignment horizontal="right"/>
    </xf>
    <xf borderId="2" fillId="0" fontId="3" numFmtId="164" xfId="0" applyBorder="1" applyFont="1" applyNumberFormat="1"/>
    <xf borderId="3" fillId="2" fontId="3" numFmtId="164" xfId="0" applyBorder="1" applyFont="1" applyNumberFormat="1"/>
    <xf borderId="3" fillId="0" fontId="3" numFmtId="164" xfId="0" applyBorder="1" applyFont="1" applyNumberFormat="1"/>
    <xf borderId="4" fillId="2" fontId="3" numFmtId="164" xfId="0" applyBorder="1" applyFont="1" applyNumberFormat="1"/>
    <xf borderId="5" fillId="0" fontId="8" numFmtId="3" xfId="0" applyAlignment="1" applyBorder="1" applyFont="1" applyNumberFormat="1">
      <alignment horizontal="center" readingOrder="0" shrinkToFit="0" vertical="center" wrapText="1"/>
    </xf>
    <xf borderId="4" fillId="0" fontId="9" numFmtId="0" xfId="0" applyBorder="1" applyFont="1"/>
    <xf borderId="6" fillId="0" fontId="9" numFmtId="0" xfId="0" applyBorder="1" applyFont="1"/>
    <xf borderId="0" fillId="0" fontId="8" numFmtId="3" xfId="0" applyAlignment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/>
    </xf>
    <xf borderId="0" fillId="0" fontId="11" numFmtId="0" xfId="0" applyFont="1"/>
    <xf borderId="7" fillId="5" fontId="12" numFmtId="40" xfId="0" applyAlignment="1" applyBorder="1" applyFill="1" applyFont="1" applyNumberFormat="1">
      <alignment horizontal="center" shrinkToFit="0" vertical="center" wrapText="1"/>
    </xf>
    <xf borderId="7" fillId="5" fontId="12" numFmtId="40" xfId="0" applyAlignment="1" applyBorder="1" applyFont="1" applyNumberFormat="1">
      <alignment horizontal="center" readingOrder="0" shrinkToFit="0" vertical="center" wrapText="1"/>
    </xf>
    <xf borderId="0" fillId="0" fontId="13" numFmtId="40" xfId="0" applyAlignment="1" applyFont="1" applyNumberFormat="1">
      <alignment horizontal="center" shrinkToFit="0" vertical="center" wrapText="1"/>
    </xf>
    <xf borderId="8" fillId="6" fontId="12" numFmtId="40" xfId="0" applyAlignment="1" applyBorder="1" applyFill="1" applyFont="1" applyNumberFormat="1">
      <alignment horizontal="center" readingOrder="0" shrinkToFit="0" vertical="center" wrapText="1"/>
    </xf>
    <xf borderId="9" fillId="6" fontId="12" numFmtId="40" xfId="0" applyAlignment="1" applyBorder="1" applyFont="1" applyNumberFormat="1">
      <alignment horizontal="center" readingOrder="0" shrinkToFit="0" vertical="center" wrapText="1"/>
    </xf>
    <xf borderId="8" fillId="7" fontId="12" numFmtId="40" xfId="0" applyAlignment="1" applyBorder="1" applyFill="1" applyFont="1" applyNumberFormat="1">
      <alignment horizontal="center" readingOrder="0" shrinkToFit="0" vertical="center" wrapText="1"/>
    </xf>
    <xf borderId="9" fillId="7" fontId="12" numFmtId="40" xfId="0" applyAlignment="1" applyBorder="1" applyFont="1" applyNumberFormat="1">
      <alignment horizontal="center" readingOrder="0" shrinkToFit="0" vertical="center" wrapText="1"/>
    </xf>
    <xf borderId="0" fillId="0" fontId="14" numFmtId="40" xfId="0" applyAlignment="1" applyFont="1" applyNumberFormat="1">
      <alignment horizontal="center" shrinkToFit="0" vertical="center" wrapText="1"/>
    </xf>
    <xf borderId="7" fillId="0" fontId="15" numFmtId="3" xfId="0" applyAlignment="1" applyBorder="1" applyFont="1" applyNumberFormat="1">
      <alignment horizontal="center" shrinkToFit="0" vertical="center" wrapText="1"/>
    </xf>
    <xf borderId="7" fillId="8" fontId="15" numFmtId="165" xfId="0" applyAlignment="1" applyBorder="1" applyFill="1" applyFont="1" applyNumberFormat="1">
      <alignment horizontal="center" shrinkToFit="0" vertical="center" wrapText="1"/>
    </xf>
    <xf borderId="7" fillId="0" fontId="15" numFmtId="10" xfId="0" applyAlignment="1" applyBorder="1" applyFont="1" applyNumberFormat="1">
      <alignment horizontal="center" shrinkToFit="0" vertical="center" wrapText="1"/>
    </xf>
    <xf borderId="0" fillId="0" fontId="15" numFmtId="38" xfId="0" applyAlignment="1" applyFont="1" applyNumberFormat="1">
      <alignment horizontal="center" shrinkToFit="0" vertical="center" wrapText="1"/>
    </xf>
    <xf borderId="10" fillId="0" fontId="15" numFmtId="38" xfId="0" applyAlignment="1" applyBorder="1" applyFont="1" applyNumberFormat="1">
      <alignment horizontal="right" readingOrder="0" shrinkToFit="0" vertical="center" wrapText="1"/>
    </xf>
    <xf borderId="11" fillId="0" fontId="15" numFmtId="166" xfId="0" applyAlignment="1" applyBorder="1" applyFont="1" applyNumberFormat="1">
      <alignment horizontal="right" readingOrder="0" shrinkToFit="0" vertical="center" wrapText="1"/>
    </xf>
    <xf borderId="0" fillId="0" fontId="15" numFmtId="38" xfId="0" applyAlignment="1" applyFont="1" applyNumberFormat="1">
      <alignment horizontal="center" shrinkToFit="0" wrapText="1"/>
    </xf>
    <xf borderId="10" fillId="0" fontId="15" numFmtId="38" xfId="0" applyAlignment="1" applyBorder="1" applyFont="1" applyNumberFormat="1">
      <alignment horizontal="right" readingOrder="0" shrinkToFit="0" wrapText="1"/>
    </xf>
    <xf borderId="0" fillId="0" fontId="13" numFmtId="10" xfId="0" applyAlignment="1" applyFont="1" applyNumberFormat="1">
      <alignment horizontal="center" shrinkToFit="0" vertical="center" wrapText="1"/>
    </xf>
    <xf borderId="7" fillId="0" fontId="15" numFmtId="165" xfId="0" applyAlignment="1" applyBorder="1" applyFont="1" applyNumberFormat="1">
      <alignment horizontal="center" shrinkToFit="0" wrapText="1"/>
    </xf>
    <xf borderId="7" fillId="0" fontId="15" numFmtId="10" xfId="0" applyAlignment="1" applyBorder="1" applyFont="1" applyNumberFormat="1">
      <alignment horizontal="center" shrinkToFit="0" wrapText="1"/>
    </xf>
    <xf borderId="11" fillId="0" fontId="15" numFmtId="166" xfId="0" applyAlignment="1" applyBorder="1" applyFont="1" applyNumberFormat="1">
      <alignment horizontal="right" readingOrder="0" shrinkToFit="0" wrapText="1"/>
    </xf>
    <xf borderId="11" fillId="0" fontId="15" numFmtId="166" xfId="0" applyAlignment="1" applyBorder="1" applyFont="1" applyNumberFormat="1">
      <alignment horizontal="right" shrinkToFit="0" wrapText="1"/>
    </xf>
    <xf borderId="7" fillId="0" fontId="15" numFmtId="3" xfId="0" applyAlignment="1" applyBorder="1" applyFont="1" applyNumberFormat="1">
      <alignment horizontal="center" shrinkToFit="0" wrapText="1"/>
    </xf>
    <xf borderId="10" fillId="0" fontId="8" numFmtId="38" xfId="0" applyAlignment="1" applyBorder="1" applyFont="1" applyNumberFormat="1">
      <alignment horizontal="right" readingOrder="0" shrinkToFit="0" wrapText="1"/>
    </xf>
    <xf borderId="12" fillId="0" fontId="8" numFmtId="166" xfId="0" applyAlignment="1" applyBorder="1" applyFont="1" applyNumberFormat="1">
      <alignment horizontal="center" shrinkToFit="0" wrapText="1"/>
    </xf>
    <xf borderId="10" fillId="0" fontId="15" numFmtId="38" xfId="0" applyAlignment="1" applyBorder="1" applyFont="1" applyNumberFormat="1">
      <alignment horizontal="right" shrinkToFit="0" wrapText="1"/>
    </xf>
    <xf borderId="11" fillId="0" fontId="15" numFmtId="166" xfId="0" applyAlignment="1" applyBorder="1" applyFont="1" applyNumberFormat="1">
      <alignment horizontal="center" shrinkToFit="0" wrapText="1"/>
    </xf>
    <xf borderId="10" fillId="0" fontId="15" numFmtId="38" xfId="0" applyAlignment="1" applyBorder="1" applyFont="1" applyNumberFormat="1">
      <alignment horizontal="center" shrinkToFit="0" wrapText="1"/>
    </xf>
    <xf borderId="11" fillId="0" fontId="15" numFmtId="38" xfId="0" applyAlignment="1" applyBorder="1" applyFont="1" applyNumberFormat="1">
      <alignment horizontal="center" shrinkToFit="0" wrapText="1"/>
    </xf>
    <xf borderId="11" fillId="0" fontId="16" numFmtId="166" xfId="0" applyAlignment="1" applyBorder="1" applyFont="1" applyNumberFormat="1">
      <alignment horizontal="center" readingOrder="0" shrinkToFit="0" vertical="center" wrapText="1"/>
    </xf>
    <xf borderId="13" fillId="0" fontId="15" numFmtId="38" xfId="0" applyAlignment="1" applyBorder="1" applyFont="1" applyNumberFormat="1">
      <alignment horizontal="center" shrinkToFit="0" wrapText="1"/>
    </xf>
    <xf borderId="14" fillId="0" fontId="15" numFmtId="38" xfId="0" applyAlignment="1" applyBorder="1" applyFont="1" applyNumberFormat="1">
      <alignment horizontal="center" shrinkToFit="0" wrapText="1"/>
    </xf>
    <xf borderId="0" fillId="0" fontId="10" numFmtId="10" xfId="0" applyAlignment="1" applyFont="1" applyNumberFormat="1">
      <alignment horizontal="center" vertical="bottom"/>
    </xf>
    <xf borderId="7" fillId="0" fontId="15" numFmtId="165" xfId="0" applyAlignment="1" applyBorder="1" applyFont="1" applyNumberFormat="1">
      <alignment horizontal="center" shrinkToFit="0" vertical="center" wrapText="1"/>
    </xf>
    <xf borderId="7" fillId="8" fontId="15" numFmtId="10" xfId="0" applyAlignment="1" applyBorder="1" applyFont="1" applyNumberFormat="1">
      <alignment horizontal="center" shrinkToFit="0" vertical="center" wrapText="1"/>
    </xf>
    <xf borderId="7" fillId="0" fontId="15" numFmtId="38" xfId="0" applyAlignment="1" applyBorder="1" applyFont="1" applyNumberFormat="1">
      <alignment horizontal="center" shrinkToFit="0" vertical="center" wrapText="1"/>
    </xf>
    <xf borderId="10" fillId="0" fontId="8" numFmtId="38" xfId="0" applyAlignment="1" applyBorder="1" applyFont="1" applyNumberFormat="1">
      <alignment horizontal="right" readingOrder="0" shrinkToFit="0" vertical="center" wrapText="1"/>
    </xf>
    <xf borderId="12" fillId="0" fontId="17" numFmtId="166" xfId="0" applyAlignment="1" applyBorder="1" applyFont="1" applyNumberFormat="1">
      <alignment horizontal="center" shrinkToFit="0" wrapText="1"/>
    </xf>
    <xf borderId="10" fillId="0" fontId="15" numFmtId="38" xfId="0" applyAlignment="1" applyBorder="1" applyFont="1" applyNumberFormat="1">
      <alignment horizontal="right" shrinkToFit="0" vertical="center" wrapText="1"/>
    </xf>
    <xf borderId="7" fillId="8" fontId="15" numFmtId="40" xfId="0" applyAlignment="1" applyBorder="1" applyFont="1" applyNumberFormat="1">
      <alignment horizontal="center" shrinkToFit="0" wrapText="1"/>
    </xf>
    <xf borderId="0" fillId="0" fontId="15" numFmtId="3" xfId="0" applyAlignment="1" applyFont="1" applyNumberFormat="1">
      <alignment horizontal="center" shrinkToFit="0" vertical="center" wrapText="1"/>
    </xf>
    <xf borderId="10" fillId="0" fontId="15" numFmtId="3" xfId="0" applyAlignment="1" applyBorder="1" applyFont="1" applyNumberFormat="1">
      <alignment horizontal="right" shrinkToFit="0" vertical="center" wrapText="1"/>
    </xf>
    <xf borderId="11" fillId="0" fontId="15" numFmtId="3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horizontal="center"/>
    </xf>
    <xf borderId="7" fillId="0" fontId="15" numFmtId="38" xfId="0" applyAlignment="1" applyBorder="1" applyFont="1" applyNumberFormat="1">
      <alignment horizontal="center" shrinkToFit="0" wrapText="1"/>
    </xf>
    <xf borderId="7" fillId="0" fontId="18" numFmtId="10" xfId="0" applyAlignment="1" applyBorder="1" applyFont="1" applyNumberForma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3" fillId="0" fontId="15" numFmtId="3" xfId="0" applyAlignment="1" applyBorder="1" applyFont="1" applyNumberFormat="1">
      <alignment horizontal="right" shrinkToFit="0" vertical="center" wrapText="1"/>
    </xf>
    <xf borderId="14" fillId="0" fontId="15" numFmtId="3" xfId="0" applyAlignment="1" applyBorder="1" applyFont="1" applyNumberFormat="1">
      <alignment horizontal="right" shrinkToFit="0" vertical="center" wrapText="1"/>
    </xf>
    <xf borderId="0" fillId="0" fontId="8" numFmtId="40" xfId="0" applyAlignment="1" applyFont="1" applyNumberFormat="1">
      <alignment horizontal="center" shrinkToFit="0" wrapText="1"/>
    </xf>
    <xf borderId="0" fillId="0" fontId="20" numFmtId="0" xfId="0" applyAlignment="1" applyFont="1">
      <alignment horizontal="center"/>
    </xf>
    <xf borderId="0" fillId="0" fontId="20" numFmtId="9" xfId="0" applyAlignment="1" applyFont="1" applyNumberFormat="1">
      <alignment horizontal="center"/>
    </xf>
    <xf borderId="0" fillId="0" fontId="15" numFmtId="10" xfId="0" applyAlignment="1" applyFont="1" applyNumberFormat="1">
      <alignment horizontal="center" shrinkToFit="0" wrapText="1"/>
    </xf>
    <xf borderId="15" fillId="0" fontId="15" numFmtId="3" xfId="0" applyAlignment="1" applyBorder="1" applyFont="1" applyNumberFormat="1">
      <alignment horizontal="center" shrinkToFit="0" vertical="center" wrapText="1"/>
    </xf>
    <xf borderId="15" fillId="0" fontId="15" numFmtId="165" xfId="0" applyAlignment="1" applyBorder="1" applyFont="1" applyNumberFormat="1">
      <alignment horizontal="center" shrinkToFit="0" wrapText="1"/>
    </xf>
    <xf borderId="15" fillId="0" fontId="15" numFmtId="10" xfId="0" applyAlignment="1" applyBorder="1" applyFont="1" applyNumberFormat="1">
      <alignment horizontal="center" shrinkToFit="0" wrapText="1"/>
    </xf>
    <xf borderId="16" fillId="0" fontId="8" numFmtId="3" xfId="0" applyAlignment="1" applyBorder="1" applyFont="1" applyNumberFormat="1">
      <alignment horizontal="center" readingOrder="0" shrinkToFit="0" vertical="center" wrapText="1"/>
    </xf>
    <xf borderId="16" fillId="0" fontId="8" numFmtId="165" xfId="0" applyAlignment="1" applyBorder="1" applyFont="1" applyNumberFormat="1">
      <alignment horizontal="center" shrinkToFit="0" wrapText="1"/>
    </xf>
    <xf borderId="16" fillId="0" fontId="15" numFmtId="10" xfId="0" applyAlignment="1" applyBorder="1" applyFont="1" applyNumberFormat="1">
      <alignment horizontal="center" shrinkToFit="0" wrapText="1"/>
    </xf>
    <xf borderId="17" fillId="0" fontId="15" numFmtId="3" xfId="0" applyAlignment="1" applyBorder="1" applyFont="1" applyNumberFormat="1">
      <alignment horizontal="center" shrinkToFit="0" vertical="center" wrapText="1"/>
    </xf>
    <xf borderId="17" fillId="0" fontId="15" numFmtId="165" xfId="0" applyAlignment="1" applyBorder="1" applyFont="1" applyNumberFormat="1">
      <alignment horizontal="center" shrinkToFit="0" vertical="center" wrapText="1"/>
    </xf>
    <xf borderId="17" fillId="0" fontId="15" numFmtId="9" xfId="0" applyAlignment="1" applyBorder="1" applyFont="1" applyNumberFormat="1">
      <alignment horizontal="center" shrinkToFit="0" wrapText="1"/>
    </xf>
    <xf borderId="12" fillId="0" fontId="8" numFmtId="38" xfId="0" applyAlignment="1" applyBorder="1" applyFont="1" applyNumberFormat="1">
      <alignment horizontal="center" shrinkToFit="0" wrapText="1"/>
    </xf>
    <xf borderId="0" fillId="0" fontId="15" numFmtId="9" xfId="0" applyAlignment="1" applyFont="1" applyNumberFormat="1">
      <alignment horizontal="center" shrinkToFit="0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8" numFmtId="38" xfId="0" applyAlignment="1" applyFont="1" applyNumberFormat="1">
      <alignment horizontal="center" shrinkToFit="0" vertical="center" wrapText="1"/>
    </xf>
    <xf borderId="0" fillId="0" fontId="8" numFmtId="9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9" fontId="22" numFmtId="0" xfId="0" applyAlignment="1" applyFill="1" applyFont="1">
      <alignment horizontal="center" readingOrder="0" shrinkToFit="0" vertical="bottom" wrapText="0"/>
    </xf>
    <xf borderId="0" fillId="9" fontId="23" numFmtId="0" xfId="0" applyAlignment="1" applyFont="1">
      <alignment horizontal="center" shrinkToFit="0" vertical="bottom" wrapText="0"/>
    </xf>
    <xf borderId="0" fillId="9" fontId="23" numFmtId="0" xfId="0" applyAlignment="1" applyFont="1">
      <alignment shrinkToFit="0" vertical="bottom" wrapText="0"/>
    </xf>
    <xf borderId="0" fillId="9" fontId="24" numFmtId="0" xfId="0" applyAlignment="1" applyFont="1">
      <alignment horizontal="center" shrinkToFit="0" vertical="bottom" wrapText="0"/>
    </xf>
    <xf borderId="0" fillId="9" fontId="23" numFmtId="165" xfId="0" applyAlignment="1" applyFont="1" applyNumberFormat="1">
      <alignment horizontal="center" shrinkToFit="0" vertical="bottom" wrapText="0"/>
    </xf>
    <xf borderId="0" fillId="9" fontId="4" numFmtId="0" xfId="0" applyAlignment="1" applyFont="1">
      <alignment horizontal="left" readingOrder="0" shrinkToFit="0" vertical="bottom" wrapText="0"/>
    </xf>
    <xf borderId="18" fillId="9" fontId="25" numFmtId="165" xfId="0" applyAlignment="1" applyBorder="1" applyFont="1" applyNumberFormat="1">
      <alignment horizontal="center" shrinkToFit="0" vertical="bottom" wrapText="0"/>
    </xf>
    <xf borderId="0" fillId="9" fontId="26" numFmtId="0" xfId="0" applyAlignment="1" applyFont="1">
      <alignment shrinkToFit="0" vertical="bottom" wrapText="0"/>
    </xf>
    <xf borderId="19" fillId="9" fontId="25" numFmtId="165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1"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66.63"/>
    <col customWidth="1" min="2" max="2" width="18.38"/>
    <col customWidth="1" min="3" max="286" width="21.38"/>
  </cols>
  <sheetData>
    <row r="1" ht="15.75" customHeight="1">
      <c r="A1" s="1" t="s">
        <v>0</v>
      </c>
      <c r="B1" s="2"/>
      <c r="C1" s="3">
        <v>110.0</v>
      </c>
      <c r="D1" s="4">
        <v>110.0</v>
      </c>
      <c r="E1" s="4">
        <f t="shared" ref="E1:F1" si="1">D1</f>
        <v>110</v>
      </c>
      <c r="F1" s="5">
        <f t="shared" si="1"/>
        <v>110</v>
      </c>
      <c r="G1" s="3">
        <v>115.0</v>
      </c>
      <c r="H1" s="4">
        <v>115.0</v>
      </c>
      <c r="I1" s="4">
        <f t="shared" ref="I1:J1" si="2">H1</f>
        <v>115</v>
      </c>
      <c r="J1" s="5">
        <f t="shared" si="2"/>
        <v>115</v>
      </c>
      <c r="K1" s="3">
        <v>125.0</v>
      </c>
      <c r="L1" s="4">
        <v>125.0</v>
      </c>
      <c r="M1" s="4">
        <f t="shared" ref="M1:N1" si="3">L1</f>
        <v>125</v>
      </c>
      <c r="N1" s="5">
        <f t="shared" si="3"/>
        <v>125</v>
      </c>
      <c r="O1" s="3">
        <v>150.0</v>
      </c>
      <c r="P1" s="4">
        <v>150.0</v>
      </c>
      <c r="Q1" s="4">
        <f t="shared" ref="Q1:R1" si="4">P1</f>
        <v>150</v>
      </c>
      <c r="R1" s="5">
        <f t="shared" si="4"/>
        <v>150</v>
      </c>
      <c r="S1" s="3">
        <v>160.0</v>
      </c>
      <c r="T1" s="4">
        <v>160.0</v>
      </c>
      <c r="U1" s="4">
        <f t="shared" ref="U1:V1" si="5">T1</f>
        <v>160</v>
      </c>
      <c r="V1" s="4">
        <f t="shared" si="5"/>
        <v>160</v>
      </c>
      <c r="W1" s="6">
        <v>170.0</v>
      </c>
      <c r="X1" s="4">
        <v>170.0</v>
      </c>
      <c r="Y1" s="4">
        <f t="shared" ref="Y1:Z1" si="6">X1</f>
        <v>170</v>
      </c>
      <c r="Z1" s="5">
        <f t="shared" si="6"/>
        <v>170</v>
      </c>
      <c r="AA1" s="3">
        <v>180.0</v>
      </c>
      <c r="AB1" s="4">
        <v>180.0</v>
      </c>
      <c r="AC1" s="4">
        <f t="shared" ref="AC1:AD1" si="7">AB1</f>
        <v>180</v>
      </c>
      <c r="AD1" s="5">
        <f t="shared" si="7"/>
        <v>180</v>
      </c>
      <c r="AE1" s="3">
        <v>185.0</v>
      </c>
      <c r="AF1" s="4">
        <v>185.0</v>
      </c>
      <c r="AG1" s="4">
        <f t="shared" ref="AG1:AH1" si="8">AF1</f>
        <v>185</v>
      </c>
      <c r="AH1" s="5">
        <f t="shared" si="8"/>
        <v>185</v>
      </c>
      <c r="AI1" s="3">
        <v>190.0</v>
      </c>
      <c r="AJ1" s="4">
        <v>190.0</v>
      </c>
      <c r="AK1" s="4">
        <f t="shared" ref="AK1:AL1" si="9">AJ1</f>
        <v>190</v>
      </c>
      <c r="AL1" s="4">
        <f t="shared" si="9"/>
        <v>190</v>
      </c>
      <c r="AM1" s="6">
        <v>200.0</v>
      </c>
      <c r="AN1" s="4">
        <v>200.0</v>
      </c>
      <c r="AO1" s="4">
        <f t="shared" ref="AO1:AP1" si="10">AN1</f>
        <v>200</v>
      </c>
      <c r="AP1" s="5">
        <f t="shared" si="10"/>
        <v>200</v>
      </c>
      <c r="AQ1" s="3">
        <v>210.0</v>
      </c>
      <c r="AR1" s="4">
        <v>210.0</v>
      </c>
      <c r="AS1" s="4">
        <f t="shared" ref="AS1:AT1" si="11">AR1</f>
        <v>210</v>
      </c>
      <c r="AT1" s="4">
        <f t="shared" si="11"/>
        <v>210</v>
      </c>
      <c r="AU1" s="6" t="s">
        <v>1</v>
      </c>
      <c r="AV1" s="4" t="s">
        <v>1</v>
      </c>
      <c r="AW1" s="4" t="str">
        <f t="shared" ref="AW1:AX1" si="12">AV1</f>
        <v>230/315</v>
      </c>
      <c r="AX1" s="5" t="str">
        <f t="shared" si="12"/>
        <v>230/315</v>
      </c>
      <c r="AY1" s="3">
        <v>232.0</v>
      </c>
      <c r="AZ1" s="4">
        <v>232.0</v>
      </c>
      <c r="BA1" s="4">
        <f t="shared" ref="BA1:BB1" si="13">AZ1</f>
        <v>232</v>
      </c>
      <c r="BB1" s="4">
        <f t="shared" si="13"/>
        <v>232</v>
      </c>
      <c r="BC1" s="6" t="s">
        <v>2</v>
      </c>
      <c r="BD1" s="4" t="s">
        <v>2</v>
      </c>
      <c r="BE1" s="4" t="str">
        <f t="shared" ref="BE1:BF1" si="14">BD1</f>
        <v>240/450</v>
      </c>
      <c r="BF1" s="5" t="str">
        <f t="shared" si="14"/>
        <v>240/450</v>
      </c>
      <c r="BG1" s="3">
        <v>250.0</v>
      </c>
      <c r="BH1" s="4">
        <v>250.0</v>
      </c>
      <c r="BI1" s="4">
        <f t="shared" ref="BI1:BJ1" si="15">BH1</f>
        <v>250</v>
      </c>
      <c r="BJ1" s="4">
        <f t="shared" si="15"/>
        <v>250</v>
      </c>
      <c r="BK1" s="6" t="s">
        <v>3</v>
      </c>
      <c r="BL1" s="4" t="s">
        <v>3</v>
      </c>
      <c r="BM1" s="4" t="str">
        <f t="shared" ref="BM1:BN1" si="16">BL1</f>
        <v>300/301</v>
      </c>
      <c r="BN1" s="4" t="str">
        <f t="shared" si="16"/>
        <v>300/301</v>
      </c>
      <c r="BO1" s="6">
        <v>305.0</v>
      </c>
      <c r="BP1" s="4">
        <v>305.0</v>
      </c>
      <c r="BQ1" s="4">
        <f t="shared" ref="BQ1:BR1" si="17">BP1</f>
        <v>305</v>
      </c>
      <c r="BR1" s="4">
        <f t="shared" si="17"/>
        <v>305</v>
      </c>
      <c r="BS1" s="6">
        <v>307.0</v>
      </c>
      <c r="BT1" s="4">
        <v>307.0</v>
      </c>
      <c r="BU1" s="4">
        <f t="shared" ref="BU1:BV1" si="18">BT1</f>
        <v>307</v>
      </c>
      <c r="BV1" s="4">
        <f t="shared" si="18"/>
        <v>307</v>
      </c>
      <c r="BW1" s="6">
        <v>312.0</v>
      </c>
      <c r="BX1" s="4">
        <v>312.0</v>
      </c>
      <c r="BY1" s="4">
        <f t="shared" ref="BY1:BZ1" si="19">BX1</f>
        <v>312</v>
      </c>
      <c r="BZ1" s="4">
        <f t="shared" si="19"/>
        <v>312</v>
      </c>
      <c r="CA1" s="6">
        <v>320.0</v>
      </c>
      <c r="CB1" s="4">
        <v>320.0</v>
      </c>
      <c r="CC1" s="4">
        <f t="shared" ref="CC1:CD1" si="20">CB1</f>
        <v>320</v>
      </c>
      <c r="CD1" s="4">
        <f t="shared" si="20"/>
        <v>320</v>
      </c>
      <c r="CE1" s="6" t="s">
        <v>4</v>
      </c>
      <c r="CF1" s="4" t="s">
        <v>4</v>
      </c>
      <c r="CG1" s="4" t="str">
        <f t="shared" ref="CG1:CH1" si="21">CF1</f>
        <v>323/423</v>
      </c>
      <c r="CH1" s="4" t="str">
        <f t="shared" si="21"/>
        <v>323/423</v>
      </c>
      <c r="CI1" s="6">
        <v>325.0</v>
      </c>
      <c r="CJ1" s="4">
        <v>325.0</v>
      </c>
      <c r="CK1" s="4">
        <f t="shared" ref="CK1:CL1" si="22">CJ1</f>
        <v>325</v>
      </c>
      <c r="CL1" s="4">
        <f t="shared" si="22"/>
        <v>325</v>
      </c>
      <c r="CM1" s="6">
        <v>333.0</v>
      </c>
      <c r="CN1" s="4">
        <v>333.0</v>
      </c>
      <c r="CO1" s="4">
        <f t="shared" ref="CO1:CP1" si="23">CN1</f>
        <v>333</v>
      </c>
      <c r="CP1" s="4">
        <f t="shared" si="23"/>
        <v>333</v>
      </c>
      <c r="CQ1" s="6">
        <v>335.0</v>
      </c>
      <c r="CR1" s="4">
        <v>335.0</v>
      </c>
      <c r="CS1" s="4">
        <f t="shared" ref="CS1:CT1" si="24">CR1</f>
        <v>335</v>
      </c>
      <c r="CT1" s="4">
        <f t="shared" si="24"/>
        <v>335</v>
      </c>
      <c r="CU1" s="6">
        <v>338.0</v>
      </c>
      <c r="CV1" s="4">
        <v>338.0</v>
      </c>
      <c r="CW1" s="4">
        <f t="shared" ref="CW1:CX1" si="25">CV1</f>
        <v>338</v>
      </c>
      <c r="CX1" s="4">
        <f t="shared" si="25"/>
        <v>338</v>
      </c>
      <c r="CY1" s="6" t="s">
        <v>5</v>
      </c>
      <c r="CZ1" s="4" t="s">
        <v>5</v>
      </c>
      <c r="DA1" s="4" t="str">
        <f t="shared" ref="DA1:DB1" si="26">CZ1</f>
        <v>339/452</v>
      </c>
      <c r="DB1" s="4" t="str">
        <f t="shared" si="26"/>
        <v>339/452</v>
      </c>
      <c r="DC1" s="6">
        <v>348.0</v>
      </c>
      <c r="DD1" s="4">
        <v>348.0</v>
      </c>
      <c r="DE1" s="4">
        <f t="shared" ref="DE1:DF1" si="27">DD1</f>
        <v>348</v>
      </c>
      <c r="DF1" s="4">
        <f t="shared" si="27"/>
        <v>348</v>
      </c>
      <c r="DG1" s="6">
        <v>349.0</v>
      </c>
      <c r="DH1" s="4">
        <v>349.0</v>
      </c>
      <c r="DI1" s="4">
        <f t="shared" ref="DI1:DJ1" si="28">DH1</f>
        <v>349</v>
      </c>
      <c r="DJ1" s="4">
        <f t="shared" si="28"/>
        <v>349</v>
      </c>
      <c r="DK1" s="6">
        <v>350.0</v>
      </c>
      <c r="DL1" s="4">
        <v>350.0</v>
      </c>
      <c r="DM1" s="4">
        <f t="shared" ref="DM1:DN1" si="29">DL1</f>
        <v>350</v>
      </c>
      <c r="DN1" s="4">
        <f t="shared" si="29"/>
        <v>350</v>
      </c>
      <c r="DO1" s="6">
        <v>355.0</v>
      </c>
      <c r="DP1" s="4">
        <v>355.0</v>
      </c>
      <c r="DQ1" s="4">
        <f t="shared" ref="DQ1:DR1" si="30">DP1</f>
        <v>355</v>
      </c>
      <c r="DR1" s="4">
        <f t="shared" si="30"/>
        <v>355</v>
      </c>
      <c r="DS1" s="6">
        <v>360.0</v>
      </c>
      <c r="DT1" s="4">
        <v>360.0</v>
      </c>
      <c r="DU1" s="4">
        <f t="shared" ref="DU1:DV1" si="31">DT1</f>
        <v>360</v>
      </c>
      <c r="DV1" s="4">
        <f t="shared" si="31"/>
        <v>360</v>
      </c>
      <c r="DW1" s="6">
        <v>365.0</v>
      </c>
      <c r="DX1" s="4">
        <v>365.0</v>
      </c>
      <c r="DY1" s="4">
        <f t="shared" ref="DY1:DZ1" si="32">DX1</f>
        <v>365</v>
      </c>
      <c r="DZ1" s="4">
        <f t="shared" si="32"/>
        <v>365</v>
      </c>
      <c r="EA1" s="6">
        <v>368.0</v>
      </c>
      <c r="EB1" s="4">
        <v>368.0</v>
      </c>
      <c r="EC1" s="4">
        <f t="shared" ref="EC1:ED1" si="33">EB1</f>
        <v>368</v>
      </c>
      <c r="ED1" s="4">
        <f t="shared" si="33"/>
        <v>368</v>
      </c>
      <c r="EE1" s="6">
        <v>379.0</v>
      </c>
      <c r="EF1" s="4">
        <v>379.0</v>
      </c>
      <c r="EG1" s="4">
        <f t="shared" ref="EG1:EH1" si="34">EF1</f>
        <v>379</v>
      </c>
      <c r="EH1" s="4">
        <f t="shared" si="34"/>
        <v>379</v>
      </c>
      <c r="EI1" s="7">
        <v>380.0</v>
      </c>
      <c r="EJ1" s="8">
        <v>380.0</v>
      </c>
      <c r="EK1" s="8">
        <v>380.0</v>
      </c>
      <c r="EL1" s="9">
        <v>380.0</v>
      </c>
      <c r="EM1" s="6">
        <v>382.0</v>
      </c>
      <c r="EN1" s="4">
        <v>382.0</v>
      </c>
      <c r="EO1" s="4">
        <f t="shared" ref="EO1:EP1" si="35">EN1</f>
        <v>382</v>
      </c>
      <c r="EP1" s="4">
        <f t="shared" si="35"/>
        <v>382</v>
      </c>
      <c r="EQ1" s="6">
        <v>398.0</v>
      </c>
      <c r="ER1" s="4">
        <v>398.0</v>
      </c>
      <c r="ES1" s="4">
        <f t="shared" ref="ES1:ET1" si="36">ER1</f>
        <v>398</v>
      </c>
      <c r="ET1" s="5">
        <f t="shared" si="36"/>
        <v>398</v>
      </c>
      <c r="EU1" s="3">
        <v>401.0</v>
      </c>
      <c r="EV1" s="4">
        <v>401.0</v>
      </c>
      <c r="EW1" s="4">
        <f t="shared" ref="EW1:EX1" si="37">EV1</f>
        <v>401</v>
      </c>
      <c r="EX1" s="5">
        <f t="shared" si="37"/>
        <v>401</v>
      </c>
      <c r="EY1" s="3">
        <v>402.0</v>
      </c>
      <c r="EZ1" s="4">
        <v>402.0</v>
      </c>
      <c r="FA1" s="4">
        <f t="shared" ref="FA1:FB1" si="38">EZ1</f>
        <v>402</v>
      </c>
      <c r="FB1" s="5">
        <f t="shared" si="38"/>
        <v>402</v>
      </c>
      <c r="FC1" s="3">
        <v>403.0</v>
      </c>
      <c r="FD1" s="4">
        <v>403.0</v>
      </c>
      <c r="FE1" s="4">
        <f t="shared" ref="FE1:FF1" si="39">FD1</f>
        <v>403</v>
      </c>
      <c r="FF1" s="5">
        <f t="shared" si="39"/>
        <v>403</v>
      </c>
      <c r="FG1" s="3">
        <v>404.0</v>
      </c>
      <c r="FH1" s="4">
        <v>404.0</v>
      </c>
      <c r="FI1" s="4">
        <f t="shared" ref="FI1:FJ1" si="40">FH1</f>
        <v>404</v>
      </c>
      <c r="FJ1" s="5">
        <f t="shared" si="40"/>
        <v>404</v>
      </c>
      <c r="FK1" s="3">
        <v>406.0</v>
      </c>
      <c r="FL1" s="4">
        <v>406.0</v>
      </c>
      <c r="FM1" s="4">
        <f t="shared" ref="FM1:FN1" si="41">FL1</f>
        <v>406</v>
      </c>
      <c r="FN1" s="5">
        <f t="shared" si="41"/>
        <v>406</v>
      </c>
      <c r="FO1" s="3">
        <v>408.0</v>
      </c>
      <c r="FP1" s="4">
        <v>408.0</v>
      </c>
      <c r="FQ1" s="4">
        <f t="shared" ref="FQ1:FR1" si="42">FP1</f>
        <v>408</v>
      </c>
      <c r="FR1" s="5">
        <f t="shared" si="42"/>
        <v>408</v>
      </c>
      <c r="FS1" s="3">
        <v>409.0</v>
      </c>
      <c r="FT1" s="4">
        <v>409.0</v>
      </c>
      <c r="FU1" s="4">
        <f t="shared" ref="FU1:FV1" si="43">FT1</f>
        <v>409</v>
      </c>
      <c r="FV1" s="5">
        <f t="shared" si="43"/>
        <v>409</v>
      </c>
      <c r="FW1" s="3">
        <v>410.0</v>
      </c>
      <c r="FX1" s="4">
        <v>410.0</v>
      </c>
      <c r="FY1" s="4">
        <f t="shared" ref="FY1:FZ1" si="44">FX1</f>
        <v>410</v>
      </c>
      <c r="FZ1" s="4">
        <f t="shared" si="44"/>
        <v>410</v>
      </c>
      <c r="GA1" s="6">
        <v>418.0</v>
      </c>
      <c r="GB1" s="4">
        <v>418.0</v>
      </c>
      <c r="GC1" s="4">
        <f t="shared" ref="GC1:GD1" si="45">GB1</f>
        <v>418</v>
      </c>
      <c r="GD1" s="5">
        <f t="shared" si="45"/>
        <v>418</v>
      </c>
      <c r="GE1" s="3">
        <v>420.0</v>
      </c>
      <c r="GF1" s="4">
        <v>420.0</v>
      </c>
      <c r="GG1" s="4">
        <f t="shared" ref="GG1:GH1" si="46">GF1</f>
        <v>420</v>
      </c>
      <c r="GH1" s="5">
        <f t="shared" si="46"/>
        <v>420</v>
      </c>
      <c r="GI1" s="3">
        <v>426.0</v>
      </c>
      <c r="GJ1" s="4">
        <v>426.0</v>
      </c>
      <c r="GK1" s="4">
        <f t="shared" ref="GK1:GL1" si="47">GJ1</f>
        <v>426</v>
      </c>
      <c r="GL1" s="4">
        <f t="shared" si="47"/>
        <v>426</v>
      </c>
      <c r="GM1" s="10">
        <v>438.0</v>
      </c>
      <c r="GN1" s="4">
        <v>438.0</v>
      </c>
      <c r="GO1" s="4">
        <f t="shared" ref="GO1:GP1" si="48">GN1</f>
        <v>438</v>
      </c>
      <c r="GP1" s="5">
        <f t="shared" si="48"/>
        <v>438</v>
      </c>
      <c r="GQ1" s="3">
        <v>440.0</v>
      </c>
      <c r="GR1" s="4">
        <v>440.0</v>
      </c>
      <c r="GS1" s="4">
        <f t="shared" ref="GS1:GT1" si="49">GR1</f>
        <v>440</v>
      </c>
      <c r="GT1" s="5">
        <f t="shared" si="49"/>
        <v>440</v>
      </c>
      <c r="GU1" s="3">
        <v>445.0</v>
      </c>
      <c r="GV1" s="4">
        <v>445.0</v>
      </c>
      <c r="GW1" s="4">
        <f t="shared" ref="GW1:GX1" si="50">GV1</f>
        <v>445</v>
      </c>
      <c r="GX1" s="4">
        <f t="shared" si="50"/>
        <v>445</v>
      </c>
      <c r="GY1" s="6">
        <v>451.0</v>
      </c>
      <c r="GZ1" s="4">
        <v>451.0</v>
      </c>
      <c r="HA1" s="4">
        <f t="shared" ref="HA1:HB1" si="51">GZ1</f>
        <v>451</v>
      </c>
      <c r="HB1" s="5">
        <f t="shared" si="51"/>
        <v>451</v>
      </c>
      <c r="HC1" s="3">
        <v>453.0</v>
      </c>
      <c r="HD1" s="4">
        <v>453.0</v>
      </c>
      <c r="HE1" s="4">
        <f t="shared" ref="HE1:HF1" si="52">HD1</f>
        <v>453</v>
      </c>
      <c r="HF1" s="5">
        <f t="shared" si="52"/>
        <v>453</v>
      </c>
      <c r="HG1" s="3">
        <v>458.0</v>
      </c>
      <c r="HH1" s="4">
        <v>458.0</v>
      </c>
      <c r="HI1" s="4">
        <f t="shared" ref="HI1:HJ1" si="53">HH1</f>
        <v>458</v>
      </c>
      <c r="HJ1" s="5">
        <f t="shared" si="53"/>
        <v>458</v>
      </c>
      <c r="HK1" s="3">
        <v>464.0</v>
      </c>
      <c r="HL1" s="4">
        <v>464.0</v>
      </c>
      <c r="HM1" s="4">
        <f t="shared" ref="HM1:HN1" si="54">HL1</f>
        <v>464</v>
      </c>
      <c r="HN1" s="5">
        <f t="shared" si="54"/>
        <v>464</v>
      </c>
      <c r="HO1" s="3">
        <v>466.0</v>
      </c>
      <c r="HP1" s="4">
        <v>466.0</v>
      </c>
      <c r="HQ1" s="4">
        <f t="shared" ref="HQ1:HR1" si="55">HP1</f>
        <v>466</v>
      </c>
      <c r="HR1" s="5">
        <f t="shared" si="55"/>
        <v>466</v>
      </c>
      <c r="HS1" s="3">
        <v>468.0</v>
      </c>
      <c r="HT1" s="4">
        <v>468.0</v>
      </c>
      <c r="HU1" s="4">
        <f t="shared" ref="HU1:HV1" si="56">HT1</f>
        <v>468</v>
      </c>
      <c r="HV1" s="5">
        <f t="shared" si="56"/>
        <v>468</v>
      </c>
      <c r="HW1" s="3">
        <v>469.0</v>
      </c>
      <c r="HX1" s="4">
        <v>469.0</v>
      </c>
      <c r="HY1" s="4">
        <f t="shared" ref="HY1:HZ1" si="57">HX1</f>
        <v>469</v>
      </c>
      <c r="HZ1" s="5">
        <f t="shared" si="57"/>
        <v>469</v>
      </c>
      <c r="IA1" s="3">
        <v>470.0</v>
      </c>
      <c r="IB1" s="4">
        <v>470.0</v>
      </c>
      <c r="IC1" s="4">
        <f t="shared" ref="IC1:ID1" si="58">IB1</f>
        <v>470</v>
      </c>
      <c r="ID1" s="5">
        <f t="shared" si="58"/>
        <v>470</v>
      </c>
      <c r="IE1" s="3">
        <v>471.0</v>
      </c>
      <c r="IF1" s="4">
        <v>471.0</v>
      </c>
      <c r="IG1" s="4">
        <f t="shared" ref="IG1:IH1" si="59">IF1</f>
        <v>471</v>
      </c>
      <c r="IH1" s="5">
        <f t="shared" si="59"/>
        <v>471</v>
      </c>
      <c r="II1" s="3">
        <v>481.0</v>
      </c>
      <c r="IJ1" s="4">
        <v>481.0</v>
      </c>
      <c r="IK1" s="4">
        <f t="shared" ref="IK1:IL1" si="60">IJ1</f>
        <v>481</v>
      </c>
      <c r="IL1" s="5">
        <f t="shared" si="60"/>
        <v>481</v>
      </c>
      <c r="IM1" s="3">
        <v>484.0</v>
      </c>
      <c r="IN1" s="4">
        <v>484.0</v>
      </c>
      <c r="IO1" s="4">
        <f t="shared" ref="IO1:IP1" si="61">IN1</f>
        <v>484</v>
      </c>
      <c r="IP1" s="5">
        <f t="shared" si="61"/>
        <v>484</v>
      </c>
      <c r="IQ1" s="3">
        <v>485.0</v>
      </c>
      <c r="IR1" s="4">
        <v>485.0</v>
      </c>
      <c r="IS1" s="4">
        <f t="shared" ref="IS1:IT1" si="62">IR1</f>
        <v>485</v>
      </c>
      <c r="IT1" s="5">
        <f t="shared" si="62"/>
        <v>485</v>
      </c>
      <c r="IU1" s="3">
        <v>486.0</v>
      </c>
      <c r="IV1" s="4">
        <v>486.0</v>
      </c>
      <c r="IW1" s="4">
        <f t="shared" ref="IW1:IX1" si="63">IV1</f>
        <v>486</v>
      </c>
      <c r="IX1" s="5">
        <f t="shared" si="63"/>
        <v>486</v>
      </c>
      <c r="IY1" s="3">
        <v>488.0</v>
      </c>
      <c r="IZ1" s="4">
        <v>488.0</v>
      </c>
      <c r="JA1" s="4">
        <f t="shared" ref="JA1:JB1" si="64">IZ1</f>
        <v>488</v>
      </c>
      <c r="JB1" s="5">
        <f t="shared" si="64"/>
        <v>488</v>
      </c>
      <c r="JC1" s="3">
        <v>492.0</v>
      </c>
      <c r="JD1" s="4">
        <v>492.0</v>
      </c>
      <c r="JE1" s="4">
        <f t="shared" ref="JE1:JF1" si="65">JD1</f>
        <v>492</v>
      </c>
      <c r="JF1" s="4">
        <f t="shared" si="65"/>
        <v>492</v>
      </c>
      <c r="JG1" s="3">
        <v>499.0</v>
      </c>
      <c r="JH1" s="4">
        <v>499.0</v>
      </c>
      <c r="JI1" s="4">
        <f t="shared" ref="JI1:JJ1" si="66">JH1</f>
        <v>499</v>
      </c>
      <c r="JJ1" s="5">
        <f t="shared" si="66"/>
        <v>499</v>
      </c>
      <c r="JK1" s="3">
        <v>803.0</v>
      </c>
      <c r="JL1" s="4">
        <v>803.0</v>
      </c>
      <c r="JM1" s="4">
        <f t="shared" ref="JM1:JN1" si="67">JL1</f>
        <v>803</v>
      </c>
      <c r="JN1" s="5">
        <f t="shared" si="67"/>
        <v>803</v>
      </c>
      <c r="JO1" s="3">
        <v>900.0</v>
      </c>
      <c r="JP1" s="4">
        <v>900.0</v>
      </c>
      <c r="JQ1" s="4">
        <f t="shared" ref="JQ1:JR1" si="68">JP1</f>
        <v>900</v>
      </c>
      <c r="JR1" s="5">
        <f t="shared" si="68"/>
        <v>900</v>
      </c>
      <c r="JS1" s="3">
        <v>920.0</v>
      </c>
      <c r="JT1" s="4">
        <v>920.0</v>
      </c>
      <c r="JU1" s="4">
        <f t="shared" ref="JU1:JV1" si="69">JT1</f>
        <v>920</v>
      </c>
      <c r="JV1" s="5">
        <f t="shared" si="69"/>
        <v>920</v>
      </c>
      <c r="JW1" s="3">
        <v>943.0</v>
      </c>
      <c r="JX1" s="4">
        <v>943.0</v>
      </c>
      <c r="JY1" s="4">
        <f t="shared" ref="JY1:JZ1" si="70">JX1</f>
        <v>943</v>
      </c>
      <c r="JZ1" s="5">
        <f t="shared" si="70"/>
        <v>943</v>
      </c>
    </row>
    <row r="2" ht="53.25" customHeight="1">
      <c r="A2" s="11" t="s">
        <v>6</v>
      </c>
      <c r="B2" s="12"/>
      <c r="C2" s="13" t="s">
        <v>7</v>
      </c>
      <c r="D2" s="14" t="s">
        <v>8</v>
      </c>
      <c r="E2" s="14" t="s">
        <v>9</v>
      </c>
      <c r="F2" s="14" t="s">
        <v>10</v>
      </c>
      <c r="G2" s="13" t="s">
        <v>11</v>
      </c>
      <c r="H2" s="14" t="s">
        <v>8</v>
      </c>
      <c r="I2" s="14" t="s">
        <v>9</v>
      </c>
      <c r="J2" s="14" t="s">
        <v>10</v>
      </c>
      <c r="K2" s="13" t="s">
        <v>12</v>
      </c>
      <c r="L2" s="14" t="s">
        <v>8</v>
      </c>
      <c r="M2" s="14" t="s">
        <v>9</v>
      </c>
      <c r="N2" s="14" t="s">
        <v>10</v>
      </c>
      <c r="O2" s="13" t="s">
        <v>13</v>
      </c>
      <c r="P2" s="14" t="s">
        <v>8</v>
      </c>
      <c r="Q2" s="14" t="s">
        <v>9</v>
      </c>
      <c r="R2" s="14" t="s">
        <v>10</v>
      </c>
      <c r="S2" s="13" t="s">
        <v>14</v>
      </c>
      <c r="T2" s="14" t="s">
        <v>8</v>
      </c>
      <c r="U2" s="14" t="s">
        <v>9</v>
      </c>
      <c r="V2" s="14" t="s">
        <v>10</v>
      </c>
      <c r="W2" s="13" t="s">
        <v>15</v>
      </c>
      <c r="X2" s="14" t="s">
        <v>8</v>
      </c>
      <c r="Y2" s="14" t="s">
        <v>9</v>
      </c>
      <c r="Z2" s="14" t="s">
        <v>10</v>
      </c>
      <c r="AA2" s="13" t="s">
        <v>16</v>
      </c>
      <c r="AB2" s="14" t="s">
        <v>8</v>
      </c>
      <c r="AC2" s="14" t="s">
        <v>9</v>
      </c>
      <c r="AD2" s="14" t="s">
        <v>10</v>
      </c>
      <c r="AE2" s="13" t="s">
        <v>17</v>
      </c>
      <c r="AF2" s="14" t="s">
        <v>8</v>
      </c>
      <c r="AG2" s="14" t="s">
        <v>9</v>
      </c>
      <c r="AH2" s="14" t="s">
        <v>10</v>
      </c>
      <c r="AI2" s="13" t="s">
        <v>18</v>
      </c>
      <c r="AJ2" s="14" t="s">
        <v>8</v>
      </c>
      <c r="AK2" s="14" t="s">
        <v>9</v>
      </c>
      <c r="AL2" s="14" t="s">
        <v>10</v>
      </c>
      <c r="AM2" s="13" t="s">
        <v>19</v>
      </c>
      <c r="AN2" s="14" t="s">
        <v>8</v>
      </c>
      <c r="AO2" s="14" t="s">
        <v>9</v>
      </c>
      <c r="AP2" s="14" t="s">
        <v>10</v>
      </c>
      <c r="AQ2" s="13" t="s">
        <v>20</v>
      </c>
      <c r="AR2" s="14" t="s">
        <v>8</v>
      </c>
      <c r="AS2" s="14" t="s">
        <v>9</v>
      </c>
      <c r="AT2" s="14" t="s">
        <v>10</v>
      </c>
      <c r="AU2" s="13" t="s">
        <v>21</v>
      </c>
      <c r="AV2" s="14" t="s">
        <v>8</v>
      </c>
      <c r="AW2" s="14" t="s">
        <v>9</v>
      </c>
      <c r="AX2" s="14" t="s">
        <v>10</v>
      </c>
      <c r="AY2" s="13" t="s">
        <v>22</v>
      </c>
      <c r="AZ2" s="14" t="s">
        <v>8</v>
      </c>
      <c r="BA2" s="14" t="s">
        <v>9</v>
      </c>
      <c r="BB2" s="14" t="s">
        <v>10</v>
      </c>
      <c r="BC2" s="13" t="s">
        <v>23</v>
      </c>
      <c r="BD2" s="14" t="s">
        <v>8</v>
      </c>
      <c r="BE2" s="14" t="s">
        <v>9</v>
      </c>
      <c r="BF2" s="14" t="s">
        <v>10</v>
      </c>
      <c r="BG2" s="13" t="s">
        <v>24</v>
      </c>
      <c r="BH2" s="14" t="s">
        <v>8</v>
      </c>
      <c r="BI2" s="14" t="s">
        <v>9</v>
      </c>
      <c r="BJ2" s="14" t="s">
        <v>10</v>
      </c>
      <c r="BK2" s="13" t="s">
        <v>25</v>
      </c>
      <c r="BL2" s="14" t="s">
        <v>8</v>
      </c>
      <c r="BM2" s="14" t="s">
        <v>9</v>
      </c>
      <c r="BN2" s="14" t="s">
        <v>10</v>
      </c>
      <c r="BO2" s="13" t="s">
        <v>26</v>
      </c>
      <c r="BP2" s="14" t="s">
        <v>8</v>
      </c>
      <c r="BQ2" s="14" t="s">
        <v>9</v>
      </c>
      <c r="BR2" s="14" t="s">
        <v>10</v>
      </c>
      <c r="BS2" s="13" t="s">
        <v>27</v>
      </c>
      <c r="BT2" s="14" t="s">
        <v>8</v>
      </c>
      <c r="BU2" s="14" t="s">
        <v>9</v>
      </c>
      <c r="BV2" s="14" t="s">
        <v>10</v>
      </c>
      <c r="BW2" s="13" t="s">
        <v>28</v>
      </c>
      <c r="BX2" s="14" t="s">
        <v>8</v>
      </c>
      <c r="BY2" s="14" t="s">
        <v>9</v>
      </c>
      <c r="BZ2" s="14" t="s">
        <v>10</v>
      </c>
      <c r="CA2" s="13" t="s">
        <v>29</v>
      </c>
      <c r="CB2" s="14" t="s">
        <v>8</v>
      </c>
      <c r="CC2" s="14" t="s">
        <v>9</v>
      </c>
      <c r="CD2" s="14" t="s">
        <v>10</v>
      </c>
      <c r="CE2" s="13" t="s">
        <v>30</v>
      </c>
      <c r="CF2" s="14" t="s">
        <v>8</v>
      </c>
      <c r="CG2" s="14" t="s">
        <v>9</v>
      </c>
      <c r="CH2" s="14" t="s">
        <v>10</v>
      </c>
      <c r="CI2" s="13" t="s">
        <v>31</v>
      </c>
      <c r="CJ2" s="14" t="s">
        <v>8</v>
      </c>
      <c r="CK2" s="14" t="s">
        <v>9</v>
      </c>
      <c r="CL2" s="14" t="s">
        <v>10</v>
      </c>
      <c r="CM2" s="13" t="s">
        <v>32</v>
      </c>
      <c r="CN2" s="14" t="s">
        <v>8</v>
      </c>
      <c r="CO2" s="14" t="s">
        <v>9</v>
      </c>
      <c r="CP2" s="14" t="s">
        <v>10</v>
      </c>
      <c r="CQ2" s="13" t="s">
        <v>33</v>
      </c>
      <c r="CR2" s="14" t="s">
        <v>8</v>
      </c>
      <c r="CS2" s="14" t="s">
        <v>9</v>
      </c>
      <c r="CT2" s="14" t="s">
        <v>10</v>
      </c>
      <c r="CU2" s="13" t="s">
        <v>34</v>
      </c>
      <c r="CV2" s="14" t="s">
        <v>8</v>
      </c>
      <c r="CW2" s="14" t="s">
        <v>9</v>
      </c>
      <c r="CX2" s="14" t="s">
        <v>10</v>
      </c>
      <c r="CY2" s="13" t="s">
        <v>35</v>
      </c>
      <c r="CZ2" s="14" t="s">
        <v>8</v>
      </c>
      <c r="DA2" s="14" t="s">
        <v>9</v>
      </c>
      <c r="DB2" s="14" t="s">
        <v>10</v>
      </c>
      <c r="DC2" s="13" t="s">
        <v>36</v>
      </c>
      <c r="DD2" s="14" t="s">
        <v>8</v>
      </c>
      <c r="DE2" s="14" t="s">
        <v>9</v>
      </c>
      <c r="DF2" s="14" t="s">
        <v>10</v>
      </c>
      <c r="DG2" s="13" t="s">
        <v>37</v>
      </c>
      <c r="DH2" s="14" t="s">
        <v>8</v>
      </c>
      <c r="DI2" s="14" t="s">
        <v>9</v>
      </c>
      <c r="DJ2" s="14" t="s">
        <v>10</v>
      </c>
      <c r="DK2" s="13" t="s">
        <v>38</v>
      </c>
      <c r="DL2" s="14" t="s">
        <v>8</v>
      </c>
      <c r="DM2" s="14" t="s">
        <v>9</v>
      </c>
      <c r="DN2" s="14" t="s">
        <v>10</v>
      </c>
      <c r="DO2" s="13" t="s">
        <v>39</v>
      </c>
      <c r="DP2" s="14" t="s">
        <v>8</v>
      </c>
      <c r="DQ2" s="14" t="s">
        <v>9</v>
      </c>
      <c r="DR2" s="14" t="s">
        <v>10</v>
      </c>
      <c r="DS2" s="13" t="s">
        <v>40</v>
      </c>
      <c r="DT2" s="14" t="s">
        <v>8</v>
      </c>
      <c r="DU2" s="14" t="s">
        <v>9</v>
      </c>
      <c r="DV2" s="14" t="s">
        <v>10</v>
      </c>
      <c r="DW2" s="13" t="s">
        <v>41</v>
      </c>
      <c r="DX2" s="14" t="s">
        <v>8</v>
      </c>
      <c r="DY2" s="14" t="s">
        <v>9</v>
      </c>
      <c r="DZ2" s="14" t="s">
        <v>10</v>
      </c>
      <c r="EA2" s="13" t="s">
        <v>42</v>
      </c>
      <c r="EB2" s="14" t="s">
        <v>8</v>
      </c>
      <c r="EC2" s="14" t="s">
        <v>9</v>
      </c>
      <c r="ED2" s="14" t="s">
        <v>10</v>
      </c>
      <c r="EE2" s="13" t="s">
        <v>43</v>
      </c>
      <c r="EF2" s="14" t="s">
        <v>8</v>
      </c>
      <c r="EG2" s="14" t="s">
        <v>9</v>
      </c>
      <c r="EH2" s="14" t="s">
        <v>10</v>
      </c>
      <c r="EI2" s="15" t="s">
        <v>44</v>
      </c>
      <c r="EJ2" s="16" t="s">
        <v>8</v>
      </c>
      <c r="EK2" s="16" t="s">
        <v>9</v>
      </c>
      <c r="EL2" s="16" t="s">
        <v>10</v>
      </c>
      <c r="EM2" s="13" t="s">
        <v>45</v>
      </c>
      <c r="EN2" s="14" t="s">
        <v>8</v>
      </c>
      <c r="EO2" s="14" t="s">
        <v>9</v>
      </c>
      <c r="EP2" s="14" t="s">
        <v>10</v>
      </c>
      <c r="EQ2" s="13" t="s">
        <v>46</v>
      </c>
      <c r="ER2" s="14" t="s">
        <v>8</v>
      </c>
      <c r="ES2" s="14" t="s">
        <v>9</v>
      </c>
      <c r="ET2" s="14" t="s">
        <v>10</v>
      </c>
      <c r="EU2" s="13" t="s">
        <v>47</v>
      </c>
      <c r="EV2" s="14" t="s">
        <v>8</v>
      </c>
      <c r="EW2" s="14" t="s">
        <v>9</v>
      </c>
      <c r="EX2" s="14" t="s">
        <v>10</v>
      </c>
      <c r="EY2" s="13" t="s">
        <v>48</v>
      </c>
      <c r="EZ2" s="14" t="s">
        <v>8</v>
      </c>
      <c r="FA2" s="14" t="s">
        <v>9</v>
      </c>
      <c r="FB2" s="14" t="s">
        <v>10</v>
      </c>
      <c r="FC2" s="13" t="s">
        <v>49</v>
      </c>
      <c r="FD2" s="14" t="s">
        <v>8</v>
      </c>
      <c r="FE2" s="14" t="s">
        <v>9</v>
      </c>
      <c r="FF2" s="14" t="s">
        <v>10</v>
      </c>
      <c r="FG2" s="13" t="s">
        <v>50</v>
      </c>
      <c r="FH2" s="14" t="s">
        <v>8</v>
      </c>
      <c r="FI2" s="14" t="s">
        <v>9</v>
      </c>
      <c r="FJ2" s="14" t="s">
        <v>10</v>
      </c>
      <c r="FK2" s="13" t="s">
        <v>51</v>
      </c>
      <c r="FL2" s="14" t="s">
        <v>8</v>
      </c>
      <c r="FM2" s="14" t="s">
        <v>9</v>
      </c>
      <c r="FN2" s="14" t="s">
        <v>10</v>
      </c>
      <c r="FO2" s="13" t="s">
        <v>52</v>
      </c>
      <c r="FP2" s="14" t="s">
        <v>8</v>
      </c>
      <c r="FQ2" s="14" t="s">
        <v>9</v>
      </c>
      <c r="FR2" s="14" t="s">
        <v>10</v>
      </c>
      <c r="FS2" s="13" t="s">
        <v>53</v>
      </c>
      <c r="FT2" s="14" t="s">
        <v>8</v>
      </c>
      <c r="FU2" s="14" t="s">
        <v>9</v>
      </c>
      <c r="FV2" s="14" t="s">
        <v>10</v>
      </c>
      <c r="FW2" s="13" t="s">
        <v>54</v>
      </c>
      <c r="FX2" s="14" t="s">
        <v>8</v>
      </c>
      <c r="FY2" s="14" t="s">
        <v>9</v>
      </c>
      <c r="FZ2" s="14" t="s">
        <v>10</v>
      </c>
      <c r="GA2" s="13" t="s">
        <v>55</v>
      </c>
      <c r="GB2" s="14" t="s">
        <v>8</v>
      </c>
      <c r="GC2" s="14" t="s">
        <v>9</v>
      </c>
      <c r="GD2" s="14" t="s">
        <v>10</v>
      </c>
      <c r="GE2" s="13" t="s">
        <v>56</v>
      </c>
      <c r="GF2" s="14" t="s">
        <v>8</v>
      </c>
      <c r="GG2" s="14" t="s">
        <v>9</v>
      </c>
      <c r="GH2" s="14" t="s">
        <v>10</v>
      </c>
      <c r="GI2" s="13" t="s">
        <v>57</v>
      </c>
      <c r="GJ2" s="14" t="s">
        <v>8</v>
      </c>
      <c r="GK2" s="14" t="s">
        <v>9</v>
      </c>
      <c r="GL2" s="14" t="s">
        <v>10</v>
      </c>
      <c r="GM2" s="13" t="s">
        <v>58</v>
      </c>
      <c r="GN2" s="14" t="s">
        <v>8</v>
      </c>
      <c r="GO2" s="14" t="s">
        <v>9</v>
      </c>
      <c r="GP2" s="14" t="s">
        <v>10</v>
      </c>
      <c r="GQ2" s="13" t="s">
        <v>59</v>
      </c>
      <c r="GR2" s="14" t="s">
        <v>8</v>
      </c>
      <c r="GS2" s="14" t="s">
        <v>9</v>
      </c>
      <c r="GT2" s="14" t="s">
        <v>10</v>
      </c>
      <c r="GU2" s="13" t="s">
        <v>60</v>
      </c>
      <c r="GV2" s="14" t="s">
        <v>8</v>
      </c>
      <c r="GW2" s="14" t="s">
        <v>9</v>
      </c>
      <c r="GX2" s="14" t="s">
        <v>10</v>
      </c>
      <c r="GY2" s="13" t="s">
        <v>61</v>
      </c>
      <c r="GZ2" s="14" t="s">
        <v>8</v>
      </c>
      <c r="HA2" s="14" t="s">
        <v>9</v>
      </c>
      <c r="HB2" s="14" t="s">
        <v>10</v>
      </c>
      <c r="HC2" s="13" t="s">
        <v>62</v>
      </c>
      <c r="HD2" s="14" t="s">
        <v>8</v>
      </c>
      <c r="HE2" s="14" t="s">
        <v>9</v>
      </c>
      <c r="HF2" s="14" t="s">
        <v>10</v>
      </c>
      <c r="HG2" s="13" t="s">
        <v>63</v>
      </c>
      <c r="HH2" s="14" t="s">
        <v>8</v>
      </c>
      <c r="HI2" s="14" t="s">
        <v>9</v>
      </c>
      <c r="HJ2" s="14" t="s">
        <v>10</v>
      </c>
      <c r="HK2" s="13" t="s">
        <v>64</v>
      </c>
      <c r="HL2" s="14" t="s">
        <v>8</v>
      </c>
      <c r="HM2" s="14" t="s">
        <v>9</v>
      </c>
      <c r="HN2" s="14" t="s">
        <v>10</v>
      </c>
      <c r="HO2" s="13" t="s">
        <v>65</v>
      </c>
      <c r="HP2" s="14" t="s">
        <v>8</v>
      </c>
      <c r="HQ2" s="14" t="s">
        <v>9</v>
      </c>
      <c r="HR2" s="14" t="s">
        <v>10</v>
      </c>
      <c r="HS2" s="13" t="s">
        <v>66</v>
      </c>
      <c r="HT2" s="14" t="s">
        <v>8</v>
      </c>
      <c r="HU2" s="14" t="s">
        <v>9</v>
      </c>
      <c r="HV2" s="14" t="s">
        <v>10</v>
      </c>
      <c r="HW2" s="13" t="s">
        <v>67</v>
      </c>
      <c r="HX2" s="14" t="s">
        <v>8</v>
      </c>
      <c r="HY2" s="14" t="s">
        <v>9</v>
      </c>
      <c r="HZ2" s="14" t="s">
        <v>10</v>
      </c>
      <c r="IA2" s="13" t="s">
        <v>68</v>
      </c>
      <c r="IB2" s="14" t="s">
        <v>8</v>
      </c>
      <c r="IC2" s="14" t="s">
        <v>9</v>
      </c>
      <c r="ID2" s="14" t="s">
        <v>10</v>
      </c>
      <c r="IE2" s="13" t="s">
        <v>69</v>
      </c>
      <c r="IF2" s="14" t="s">
        <v>8</v>
      </c>
      <c r="IG2" s="14" t="s">
        <v>9</v>
      </c>
      <c r="IH2" s="14" t="s">
        <v>10</v>
      </c>
      <c r="II2" s="13" t="s">
        <v>70</v>
      </c>
      <c r="IJ2" s="14" t="s">
        <v>8</v>
      </c>
      <c r="IK2" s="14" t="s">
        <v>9</v>
      </c>
      <c r="IL2" s="14" t="s">
        <v>10</v>
      </c>
      <c r="IM2" s="13" t="s">
        <v>71</v>
      </c>
      <c r="IN2" s="14" t="s">
        <v>8</v>
      </c>
      <c r="IO2" s="14" t="s">
        <v>9</v>
      </c>
      <c r="IP2" s="14" t="s">
        <v>10</v>
      </c>
      <c r="IQ2" s="13" t="s">
        <v>72</v>
      </c>
      <c r="IR2" s="14" t="s">
        <v>8</v>
      </c>
      <c r="IS2" s="14" t="s">
        <v>9</v>
      </c>
      <c r="IT2" s="14" t="s">
        <v>10</v>
      </c>
      <c r="IU2" s="13" t="s">
        <v>73</v>
      </c>
      <c r="IV2" s="14" t="s">
        <v>8</v>
      </c>
      <c r="IW2" s="14" t="s">
        <v>9</v>
      </c>
      <c r="IX2" s="14" t="s">
        <v>10</v>
      </c>
      <c r="IY2" s="13" t="s">
        <v>74</v>
      </c>
      <c r="IZ2" s="14" t="s">
        <v>8</v>
      </c>
      <c r="JA2" s="14" t="s">
        <v>9</v>
      </c>
      <c r="JB2" s="14" t="s">
        <v>10</v>
      </c>
      <c r="JC2" s="13" t="s">
        <v>75</v>
      </c>
      <c r="JD2" s="14" t="s">
        <v>8</v>
      </c>
      <c r="JE2" s="14" t="s">
        <v>9</v>
      </c>
      <c r="JF2" s="14" t="s">
        <v>10</v>
      </c>
      <c r="JG2" s="13" t="s">
        <v>76</v>
      </c>
      <c r="JH2" s="14" t="s">
        <v>8</v>
      </c>
      <c r="JI2" s="14" t="s">
        <v>9</v>
      </c>
      <c r="JJ2" s="14" t="s">
        <v>10</v>
      </c>
      <c r="JK2" s="13" t="s">
        <v>77</v>
      </c>
      <c r="JL2" s="14" t="s">
        <v>8</v>
      </c>
      <c r="JM2" s="14" t="s">
        <v>9</v>
      </c>
      <c r="JN2" s="14" t="s">
        <v>10</v>
      </c>
      <c r="JO2" s="13" t="s">
        <v>78</v>
      </c>
      <c r="JP2" s="14" t="s">
        <v>8</v>
      </c>
      <c r="JQ2" s="14" t="s">
        <v>9</v>
      </c>
      <c r="JR2" s="14" t="s">
        <v>10</v>
      </c>
      <c r="JS2" s="13" t="s">
        <v>79</v>
      </c>
      <c r="JT2" s="14" t="s">
        <v>8</v>
      </c>
      <c r="JU2" s="14" t="s">
        <v>9</v>
      </c>
      <c r="JV2" s="14" t="s">
        <v>10</v>
      </c>
      <c r="JW2" s="13" t="s">
        <v>80</v>
      </c>
      <c r="JX2" s="14" t="s">
        <v>8</v>
      </c>
      <c r="JY2" s="14" t="s">
        <v>9</v>
      </c>
      <c r="JZ2" s="14" t="s">
        <v>10</v>
      </c>
    </row>
    <row r="3" ht="15.75" customHeight="1">
      <c r="A3" s="17"/>
      <c r="B3" s="18"/>
      <c r="C3" s="19"/>
      <c r="D3" s="20"/>
      <c r="E3" s="20" t="str">
        <f t="shared" ref="E3:F3" si="71">D3</f>
        <v/>
      </c>
      <c r="F3" s="21" t="str">
        <f t="shared" si="71"/>
        <v/>
      </c>
      <c r="G3" s="19"/>
      <c r="H3" s="20"/>
      <c r="I3" s="20" t="str">
        <f t="shared" ref="I3:J3" si="72">H3</f>
        <v/>
      </c>
      <c r="J3" s="21" t="str">
        <f t="shared" si="72"/>
        <v/>
      </c>
      <c r="K3" s="19"/>
      <c r="L3" s="20"/>
      <c r="M3" s="20" t="str">
        <f t="shared" ref="M3:N3" si="73">L3</f>
        <v/>
      </c>
      <c r="N3" s="21" t="str">
        <f t="shared" si="73"/>
        <v/>
      </c>
      <c r="O3" s="19"/>
      <c r="P3" s="20"/>
      <c r="Q3" s="20" t="str">
        <f t="shared" ref="Q3:R3" si="74">P3</f>
        <v/>
      </c>
      <c r="R3" s="21" t="str">
        <f t="shared" si="74"/>
        <v/>
      </c>
      <c r="S3" s="19"/>
      <c r="T3" s="20"/>
      <c r="U3" s="20" t="str">
        <f t="shared" ref="U3:V3" si="75">T3</f>
        <v/>
      </c>
      <c r="V3" s="21" t="str">
        <f t="shared" si="75"/>
        <v/>
      </c>
      <c r="W3" s="19"/>
      <c r="X3" s="20"/>
      <c r="Y3" s="20" t="str">
        <f t="shared" ref="Y3:Z3" si="76">X3</f>
        <v/>
      </c>
      <c r="Z3" s="21" t="str">
        <f t="shared" si="76"/>
        <v/>
      </c>
      <c r="AA3" s="19"/>
      <c r="AB3" s="20"/>
      <c r="AC3" s="20" t="str">
        <f t="shared" ref="AC3:AD3" si="77">AB3</f>
        <v/>
      </c>
      <c r="AD3" s="21" t="str">
        <f t="shared" si="77"/>
        <v/>
      </c>
      <c r="AE3" s="19"/>
      <c r="AF3" s="20"/>
      <c r="AG3" s="20" t="str">
        <f t="shared" ref="AG3:AH3" si="78">AF3</f>
        <v/>
      </c>
      <c r="AH3" s="21" t="str">
        <f t="shared" si="78"/>
        <v/>
      </c>
      <c r="AI3" s="19"/>
      <c r="AJ3" s="20"/>
      <c r="AK3" s="20" t="str">
        <f t="shared" ref="AK3:AL3" si="79">AJ3</f>
        <v/>
      </c>
      <c r="AL3" s="21" t="str">
        <f t="shared" si="79"/>
        <v/>
      </c>
      <c r="AM3" s="19"/>
      <c r="AN3" s="20"/>
      <c r="AO3" s="20" t="str">
        <f t="shared" ref="AO3:AP3" si="80">AN3</f>
        <v/>
      </c>
      <c r="AP3" s="21" t="str">
        <f t="shared" si="80"/>
        <v/>
      </c>
      <c r="AQ3" s="19"/>
      <c r="AR3" s="20"/>
      <c r="AS3" s="20" t="str">
        <f t="shared" ref="AS3:AT3" si="81">AR3</f>
        <v/>
      </c>
      <c r="AT3" s="21" t="str">
        <f t="shared" si="81"/>
        <v/>
      </c>
      <c r="AU3" s="19"/>
      <c r="AV3" s="20"/>
      <c r="AW3" s="20" t="str">
        <f t="shared" ref="AW3:AX3" si="82">AV3</f>
        <v/>
      </c>
      <c r="AX3" s="21" t="str">
        <f t="shared" si="82"/>
        <v/>
      </c>
      <c r="AY3" s="19"/>
      <c r="AZ3" s="20"/>
      <c r="BA3" s="20" t="str">
        <f t="shared" ref="BA3:BB3" si="83">AZ3</f>
        <v/>
      </c>
      <c r="BB3" s="21" t="str">
        <f t="shared" si="83"/>
        <v/>
      </c>
      <c r="BC3" s="19"/>
      <c r="BD3" s="20"/>
      <c r="BE3" s="20" t="str">
        <f t="shared" ref="BE3:BF3" si="84">BD3</f>
        <v/>
      </c>
      <c r="BF3" s="21" t="str">
        <f t="shared" si="84"/>
        <v/>
      </c>
      <c r="BG3" s="19"/>
      <c r="BH3" s="20"/>
      <c r="BI3" s="20" t="str">
        <f t="shared" ref="BI3:BJ3" si="85">BH3</f>
        <v/>
      </c>
      <c r="BJ3" s="21" t="str">
        <f t="shared" si="85"/>
        <v/>
      </c>
      <c r="BK3" s="19"/>
      <c r="BL3" s="20"/>
      <c r="BM3" s="20" t="str">
        <f t="shared" ref="BM3:BN3" si="86">BL3</f>
        <v/>
      </c>
      <c r="BN3" s="21" t="str">
        <f t="shared" si="86"/>
        <v/>
      </c>
      <c r="BO3" s="19"/>
      <c r="BP3" s="20"/>
      <c r="BQ3" s="20" t="str">
        <f t="shared" ref="BQ3:BR3" si="87">BP3</f>
        <v/>
      </c>
      <c r="BR3" s="21" t="str">
        <f t="shared" si="87"/>
        <v/>
      </c>
      <c r="BS3" s="19"/>
      <c r="BT3" s="20"/>
      <c r="BU3" s="20" t="str">
        <f t="shared" ref="BU3:BV3" si="88">BT3</f>
        <v/>
      </c>
      <c r="BV3" s="21" t="str">
        <f t="shared" si="88"/>
        <v/>
      </c>
      <c r="BW3" s="19"/>
      <c r="BX3" s="20"/>
      <c r="BY3" s="20" t="str">
        <f t="shared" ref="BY3:BZ3" si="89">BX3</f>
        <v/>
      </c>
      <c r="BZ3" s="21" t="str">
        <f t="shared" si="89"/>
        <v/>
      </c>
      <c r="CA3" s="19"/>
      <c r="CB3" s="20"/>
      <c r="CC3" s="20" t="str">
        <f t="shared" ref="CC3:CD3" si="90">CB3</f>
        <v/>
      </c>
      <c r="CD3" s="21" t="str">
        <f t="shared" si="90"/>
        <v/>
      </c>
      <c r="CE3" s="19"/>
      <c r="CF3" s="20"/>
      <c r="CG3" s="20" t="str">
        <f t="shared" ref="CG3:CH3" si="91">CF3</f>
        <v/>
      </c>
      <c r="CH3" s="21" t="str">
        <f t="shared" si="91"/>
        <v/>
      </c>
      <c r="CI3" s="19"/>
      <c r="CJ3" s="20"/>
      <c r="CK3" s="20" t="str">
        <f t="shared" ref="CK3:CL3" si="92">CJ3</f>
        <v/>
      </c>
      <c r="CL3" s="21" t="str">
        <f t="shared" si="92"/>
        <v/>
      </c>
      <c r="CM3" s="19"/>
      <c r="CN3" s="20"/>
      <c r="CO3" s="20" t="str">
        <f t="shared" ref="CO3:CP3" si="93">CN3</f>
        <v/>
      </c>
      <c r="CP3" s="21" t="str">
        <f t="shared" si="93"/>
        <v/>
      </c>
      <c r="CQ3" s="19"/>
      <c r="CR3" s="20"/>
      <c r="CS3" s="20" t="str">
        <f t="shared" ref="CS3:CT3" si="94">CR3</f>
        <v/>
      </c>
      <c r="CT3" s="21" t="str">
        <f t="shared" si="94"/>
        <v/>
      </c>
      <c r="CU3" s="19"/>
      <c r="CV3" s="20"/>
      <c r="CW3" s="20" t="str">
        <f t="shared" ref="CW3:CX3" si="95">CV3</f>
        <v/>
      </c>
      <c r="CX3" s="21" t="str">
        <f t="shared" si="95"/>
        <v/>
      </c>
      <c r="CY3" s="19"/>
      <c r="CZ3" s="20"/>
      <c r="DA3" s="20" t="str">
        <f t="shared" ref="DA3:DB3" si="96">CZ3</f>
        <v/>
      </c>
      <c r="DB3" s="21" t="str">
        <f t="shared" si="96"/>
        <v/>
      </c>
      <c r="DC3" s="19"/>
      <c r="DD3" s="20"/>
      <c r="DE3" s="20" t="str">
        <f t="shared" ref="DE3:DF3" si="97">DD3</f>
        <v/>
      </c>
      <c r="DF3" s="21" t="str">
        <f t="shared" si="97"/>
        <v/>
      </c>
      <c r="DG3" s="19"/>
      <c r="DH3" s="20"/>
      <c r="DI3" s="20" t="str">
        <f t="shared" ref="DI3:DJ3" si="98">DH3</f>
        <v/>
      </c>
      <c r="DJ3" s="21" t="str">
        <f t="shared" si="98"/>
        <v/>
      </c>
      <c r="DK3" s="19"/>
      <c r="DL3" s="20"/>
      <c r="DM3" s="20" t="str">
        <f t="shared" ref="DM3:DN3" si="99">DL3</f>
        <v/>
      </c>
      <c r="DN3" s="21" t="str">
        <f t="shared" si="99"/>
        <v/>
      </c>
      <c r="DO3" s="19"/>
      <c r="DP3" s="20"/>
      <c r="DQ3" s="20" t="str">
        <f t="shared" ref="DQ3:DR3" si="100">DP3</f>
        <v/>
      </c>
      <c r="DR3" s="21" t="str">
        <f t="shared" si="100"/>
        <v/>
      </c>
      <c r="DS3" s="19"/>
      <c r="DT3" s="20"/>
      <c r="DU3" s="20" t="str">
        <f t="shared" ref="DU3:DV3" si="101">DT3</f>
        <v/>
      </c>
      <c r="DV3" s="21" t="str">
        <f t="shared" si="101"/>
        <v/>
      </c>
      <c r="DW3" s="19"/>
      <c r="DX3" s="20"/>
      <c r="DY3" s="20" t="str">
        <f t="shared" ref="DY3:DZ3" si="102">DX3</f>
        <v/>
      </c>
      <c r="DZ3" s="21" t="str">
        <f t="shared" si="102"/>
        <v/>
      </c>
      <c r="EA3" s="19"/>
      <c r="EB3" s="20"/>
      <c r="EC3" s="20" t="str">
        <f t="shared" ref="EC3:ED3" si="103">EB3</f>
        <v/>
      </c>
      <c r="ED3" s="21" t="str">
        <f t="shared" si="103"/>
        <v/>
      </c>
      <c r="EE3" s="19"/>
      <c r="EF3" s="20"/>
      <c r="EG3" s="20" t="str">
        <f t="shared" ref="EG3:EH3" si="104">EF3</f>
        <v/>
      </c>
      <c r="EH3" s="21" t="str">
        <f t="shared" si="104"/>
        <v/>
      </c>
      <c r="EI3" s="19"/>
      <c r="EJ3" s="21"/>
      <c r="EK3" s="21"/>
      <c r="EL3" s="21"/>
      <c r="EM3" s="19"/>
      <c r="EN3" s="20"/>
      <c r="EO3" s="20" t="str">
        <f t="shared" ref="EO3:EP3" si="105">EN3</f>
        <v/>
      </c>
      <c r="EP3" s="21" t="str">
        <f t="shared" si="105"/>
        <v/>
      </c>
      <c r="EQ3" s="19"/>
      <c r="ER3" s="20"/>
      <c r="ES3" s="20" t="str">
        <f t="shared" ref="ES3:ET3" si="106">ER3</f>
        <v/>
      </c>
      <c r="ET3" s="21" t="str">
        <f t="shared" si="106"/>
        <v/>
      </c>
      <c r="EU3" s="19"/>
      <c r="EV3" s="20"/>
      <c r="EW3" s="20" t="str">
        <f t="shared" ref="EW3:EX3" si="107">EV3</f>
        <v/>
      </c>
      <c r="EX3" s="21" t="str">
        <f t="shared" si="107"/>
        <v/>
      </c>
      <c r="EY3" s="19"/>
      <c r="EZ3" s="20"/>
      <c r="FA3" s="20" t="str">
        <f t="shared" ref="FA3:FB3" si="108">EZ3</f>
        <v/>
      </c>
      <c r="FB3" s="21" t="str">
        <f t="shared" si="108"/>
        <v/>
      </c>
      <c r="FC3" s="19"/>
      <c r="FD3" s="20"/>
      <c r="FE3" s="20" t="str">
        <f t="shared" ref="FE3:FF3" si="109">FD3</f>
        <v/>
      </c>
      <c r="FF3" s="21" t="str">
        <f t="shared" si="109"/>
        <v/>
      </c>
      <c r="FG3" s="19"/>
      <c r="FH3" s="20"/>
      <c r="FI3" s="20" t="str">
        <f t="shared" ref="FI3:FJ3" si="110">FH3</f>
        <v/>
      </c>
      <c r="FJ3" s="21" t="str">
        <f t="shared" si="110"/>
        <v/>
      </c>
      <c r="FK3" s="19"/>
      <c r="FL3" s="20"/>
      <c r="FM3" s="20" t="str">
        <f t="shared" ref="FM3:FN3" si="111">FL3</f>
        <v/>
      </c>
      <c r="FN3" s="21" t="str">
        <f t="shared" si="111"/>
        <v/>
      </c>
      <c r="FO3" s="19"/>
      <c r="FP3" s="20"/>
      <c r="FQ3" s="20" t="str">
        <f t="shared" ref="FQ3:FR3" si="112">FP3</f>
        <v/>
      </c>
      <c r="FR3" s="21" t="str">
        <f t="shared" si="112"/>
        <v/>
      </c>
      <c r="FS3" s="19"/>
      <c r="FT3" s="20"/>
      <c r="FU3" s="20" t="str">
        <f t="shared" ref="FU3:FV3" si="113">FT3</f>
        <v/>
      </c>
      <c r="FV3" s="21" t="str">
        <f t="shared" si="113"/>
        <v/>
      </c>
      <c r="FW3" s="19"/>
      <c r="FX3" s="20"/>
      <c r="FY3" s="20" t="str">
        <f t="shared" ref="FY3:FZ3" si="114">FX3</f>
        <v/>
      </c>
      <c r="FZ3" s="21" t="str">
        <f t="shared" si="114"/>
        <v/>
      </c>
      <c r="GA3" s="19"/>
      <c r="GB3" s="20"/>
      <c r="GC3" s="20" t="str">
        <f t="shared" ref="GC3:GD3" si="115">GB3</f>
        <v/>
      </c>
      <c r="GD3" s="21" t="str">
        <f t="shared" si="115"/>
        <v/>
      </c>
      <c r="GE3" s="19"/>
      <c r="GF3" s="20"/>
      <c r="GG3" s="20" t="str">
        <f t="shared" ref="GG3:GH3" si="116">GF3</f>
        <v/>
      </c>
      <c r="GH3" s="21" t="str">
        <f t="shared" si="116"/>
        <v/>
      </c>
      <c r="GI3" s="19"/>
      <c r="GJ3" s="20"/>
      <c r="GK3" s="20" t="str">
        <f t="shared" ref="GK3:GL3" si="117">GJ3</f>
        <v/>
      </c>
      <c r="GL3" s="20" t="str">
        <f t="shared" si="117"/>
        <v/>
      </c>
      <c r="GM3" s="22"/>
      <c r="GN3" s="20"/>
      <c r="GO3" s="20" t="str">
        <f t="shared" ref="GO3:GP3" si="118">GN3</f>
        <v/>
      </c>
      <c r="GP3" s="21" t="str">
        <f t="shared" si="118"/>
        <v/>
      </c>
      <c r="GQ3" s="19"/>
      <c r="GR3" s="20"/>
      <c r="GS3" s="20" t="str">
        <f t="shared" ref="GS3:GT3" si="119">GR3</f>
        <v/>
      </c>
      <c r="GT3" s="21" t="str">
        <f t="shared" si="119"/>
        <v/>
      </c>
      <c r="GU3" s="19"/>
      <c r="GV3" s="20"/>
      <c r="GW3" s="20" t="str">
        <f t="shared" ref="GW3:GX3" si="120">GV3</f>
        <v/>
      </c>
      <c r="GX3" s="21" t="str">
        <f t="shared" si="120"/>
        <v/>
      </c>
      <c r="GY3" s="19"/>
      <c r="GZ3" s="20"/>
      <c r="HA3" s="20" t="str">
        <f t="shared" ref="HA3:HB3" si="121">GZ3</f>
        <v/>
      </c>
      <c r="HB3" s="21" t="str">
        <f t="shared" si="121"/>
        <v/>
      </c>
      <c r="HC3" s="19"/>
      <c r="HD3" s="20"/>
      <c r="HE3" s="20" t="str">
        <f t="shared" ref="HE3:HF3" si="122">HD3</f>
        <v/>
      </c>
      <c r="HF3" s="21" t="str">
        <f t="shared" si="122"/>
        <v/>
      </c>
      <c r="HG3" s="19"/>
      <c r="HH3" s="20"/>
      <c r="HI3" s="20" t="str">
        <f t="shared" ref="HI3:HJ3" si="123">HH3</f>
        <v/>
      </c>
      <c r="HJ3" s="21" t="str">
        <f t="shared" si="123"/>
        <v/>
      </c>
      <c r="HK3" s="19"/>
      <c r="HL3" s="20"/>
      <c r="HM3" s="20" t="str">
        <f t="shared" ref="HM3:HN3" si="124">HL3</f>
        <v/>
      </c>
      <c r="HN3" s="21" t="str">
        <f t="shared" si="124"/>
        <v/>
      </c>
      <c r="HO3" s="19"/>
      <c r="HP3" s="20"/>
      <c r="HQ3" s="20" t="str">
        <f t="shared" ref="HQ3:HR3" si="125">HP3</f>
        <v/>
      </c>
      <c r="HR3" s="21" t="str">
        <f t="shared" si="125"/>
        <v/>
      </c>
      <c r="HS3" s="19"/>
      <c r="HT3" s="20"/>
      <c r="HU3" s="20" t="str">
        <f t="shared" ref="HU3:HV3" si="126">HT3</f>
        <v/>
      </c>
      <c r="HV3" s="21" t="str">
        <f t="shared" si="126"/>
        <v/>
      </c>
      <c r="HW3" s="19"/>
      <c r="HX3" s="20"/>
      <c r="HY3" s="20" t="str">
        <f t="shared" ref="HY3:HZ3" si="127">HX3</f>
        <v/>
      </c>
      <c r="HZ3" s="21" t="str">
        <f t="shared" si="127"/>
        <v/>
      </c>
      <c r="IA3" s="19"/>
      <c r="IB3" s="20"/>
      <c r="IC3" s="20" t="str">
        <f t="shared" ref="IC3:ID3" si="128">IB3</f>
        <v/>
      </c>
      <c r="ID3" s="21" t="str">
        <f t="shared" si="128"/>
        <v/>
      </c>
      <c r="IE3" s="19"/>
      <c r="IF3" s="20"/>
      <c r="IG3" s="20" t="str">
        <f t="shared" ref="IG3:IH3" si="129">IF3</f>
        <v/>
      </c>
      <c r="IH3" s="21" t="str">
        <f t="shared" si="129"/>
        <v/>
      </c>
      <c r="II3" s="19"/>
      <c r="IJ3" s="20"/>
      <c r="IK3" s="20" t="str">
        <f t="shared" ref="IK3:IL3" si="130">IJ3</f>
        <v/>
      </c>
      <c r="IL3" s="21" t="str">
        <f t="shared" si="130"/>
        <v/>
      </c>
      <c r="IM3" s="19"/>
      <c r="IN3" s="20"/>
      <c r="IO3" s="20" t="str">
        <f t="shared" ref="IO3:IP3" si="131">IN3</f>
        <v/>
      </c>
      <c r="IP3" s="21" t="str">
        <f t="shared" si="131"/>
        <v/>
      </c>
      <c r="IQ3" s="19"/>
      <c r="IR3" s="20"/>
      <c r="IS3" s="20" t="str">
        <f t="shared" ref="IS3:IT3" si="132">IR3</f>
        <v/>
      </c>
      <c r="IT3" s="21" t="str">
        <f t="shared" si="132"/>
        <v/>
      </c>
      <c r="IU3" s="19"/>
      <c r="IV3" s="20"/>
      <c r="IW3" s="20" t="str">
        <f t="shared" ref="IW3:IX3" si="133">IV3</f>
        <v/>
      </c>
      <c r="IX3" s="21" t="str">
        <f t="shared" si="133"/>
        <v/>
      </c>
      <c r="IY3" s="19"/>
      <c r="IZ3" s="20"/>
      <c r="JA3" s="20" t="str">
        <f t="shared" ref="JA3:JB3" si="134">IZ3</f>
        <v/>
      </c>
      <c r="JB3" s="21" t="str">
        <f t="shared" si="134"/>
        <v/>
      </c>
      <c r="JC3" s="19"/>
      <c r="JD3" s="20"/>
      <c r="JE3" s="20" t="str">
        <f t="shared" ref="JE3:JF3" si="135">JD3</f>
        <v/>
      </c>
      <c r="JF3" s="20" t="str">
        <f t="shared" si="135"/>
        <v/>
      </c>
      <c r="JG3" s="19"/>
      <c r="JH3" s="20"/>
      <c r="JI3" s="20" t="str">
        <f t="shared" ref="JI3:JJ3" si="136">JH3</f>
        <v/>
      </c>
      <c r="JJ3" s="21" t="str">
        <f t="shared" si="136"/>
        <v/>
      </c>
      <c r="JK3" s="19"/>
      <c r="JL3" s="20"/>
      <c r="JM3" s="20" t="str">
        <f t="shared" ref="JM3:JN3" si="137">JL3</f>
        <v/>
      </c>
      <c r="JN3" s="21" t="str">
        <f t="shared" si="137"/>
        <v/>
      </c>
      <c r="JO3" s="19"/>
      <c r="JP3" s="20"/>
      <c r="JQ3" s="20" t="str">
        <f t="shared" ref="JQ3:JR3" si="138">JP3</f>
        <v/>
      </c>
      <c r="JR3" s="21" t="str">
        <f t="shared" si="138"/>
        <v/>
      </c>
      <c r="JS3" s="19"/>
      <c r="JT3" s="20"/>
      <c r="JU3" s="20" t="str">
        <f t="shared" ref="JU3:JV3" si="139">JT3</f>
        <v/>
      </c>
      <c r="JV3" s="21" t="str">
        <f t="shared" si="139"/>
        <v/>
      </c>
      <c r="JW3" s="19"/>
      <c r="JX3" s="20"/>
      <c r="JY3" s="20" t="str">
        <f t="shared" ref="JY3:JZ3" si="140">JX3</f>
        <v/>
      </c>
      <c r="JZ3" s="21" t="str">
        <f t="shared" si="140"/>
        <v/>
      </c>
    </row>
    <row r="4" ht="15.75" customHeight="1">
      <c r="A4" s="23" t="s">
        <v>81</v>
      </c>
      <c r="B4" s="18"/>
      <c r="C4" s="19"/>
      <c r="D4" s="20"/>
      <c r="E4" s="20" t="str">
        <f t="shared" ref="E4:F4" si="141">D4</f>
        <v/>
      </c>
      <c r="F4" s="21" t="str">
        <f t="shared" si="141"/>
        <v/>
      </c>
      <c r="G4" s="19"/>
      <c r="H4" s="20"/>
      <c r="I4" s="20" t="str">
        <f t="shared" ref="I4:J4" si="142">H4</f>
        <v/>
      </c>
      <c r="J4" s="21" t="str">
        <f t="shared" si="142"/>
        <v/>
      </c>
      <c r="K4" s="19"/>
      <c r="L4" s="20"/>
      <c r="M4" s="20" t="str">
        <f t="shared" ref="M4:N4" si="143">L4</f>
        <v/>
      </c>
      <c r="N4" s="21" t="str">
        <f t="shared" si="143"/>
        <v/>
      </c>
      <c r="O4" s="19"/>
      <c r="P4" s="20"/>
      <c r="Q4" s="20" t="str">
        <f t="shared" ref="Q4:R4" si="144">P4</f>
        <v/>
      </c>
      <c r="R4" s="21" t="str">
        <f t="shared" si="144"/>
        <v/>
      </c>
      <c r="S4" s="19"/>
      <c r="T4" s="20"/>
      <c r="U4" s="20" t="str">
        <f t="shared" ref="U4:V4" si="145">T4</f>
        <v/>
      </c>
      <c r="V4" s="21" t="str">
        <f t="shared" si="145"/>
        <v/>
      </c>
      <c r="W4" s="19"/>
      <c r="X4" s="20"/>
      <c r="Y4" s="20" t="str">
        <f t="shared" ref="Y4:Z4" si="146">X4</f>
        <v/>
      </c>
      <c r="Z4" s="21" t="str">
        <f t="shared" si="146"/>
        <v/>
      </c>
      <c r="AA4" s="19"/>
      <c r="AB4" s="20"/>
      <c r="AC4" s="20" t="str">
        <f t="shared" ref="AC4:AD4" si="147">AB4</f>
        <v/>
      </c>
      <c r="AD4" s="21" t="str">
        <f t="shared" si="147"/>
        <v/>
      </c>
      <c r="AE4" s="19"/>
      <c r="AF4" s="20"/>
      <c r="AG4" s="20" t="str">
        <f t="shared" ref="AG4:AH4" si="148">AF4</f>
        <v/>
      </c>
      <c r="AH4" s="21" t="str">
        <f t="shared" si="148"/>
        <v/>
      </c>
      <c r="AI4" s="19"/>
      <c r="AJ4" s="20"/>
      <c r="AK4" s="20" t="str">
        <f t="shared" ref="AK4:AL4" si="149">AJ4</f>
        <v/>
      </c>
      <c r="AL4" s="21" t="str">
        <f t="shared" si="149"/>
        <v/>
      </c>
      <c r="AM4" s="19"/>
      <c r="AN4" s="20"/>
      <c r="AO4" s="20" t="str">
        <f t="shared" ref="AO4:AP4" si="150">AN4</f>
        <v/>
      </c>
      <c r="AP4" s="21" t="str">
        <f t="shared" si="150"/>
        <v/>
      </c>
      <c r="AQ4" s="19"/>
      <c r="AR4" s="20"/>
      <c r="AS4" s="20" t="str">
        <f t="shared" ref="AS4:AT4" si="151">AR4</f>
        <v/>
      </c>
      <c r="AT4" s="21" t="str">
        <f t="shared" si="151"/>
        <v/>
      </c>
      <c r="AU4" s="19"/>
      <c r="AV4" s="20"/>
      <c r="AW4" s="20" t="str">
        <f t="shared" ref="AW4:AX4" si="152">AV4</f>
        <v/>
      </c>
      <c r="AX4" s="21" t="str">
        <f t="shared" si="152"/>
        <v/>
      </c>
      <c r="AY4" s="19"/>
      <c r="AZ4" s="20"/>
      <c r="BA4" s="20" t="str">
        <f t="shared" ref="BA4:BB4" si="153">AZ4</f>
        <v/>
      </c>
      <c r="BB4" s="21" t="str">
        <f t="shared" si="153"/>
        <v/>
      </c>
      <c r="BC4" s="19"/>
      <c r="BD4" s="20"/>
      <c r="BE4" s="20" t="str">
        <f t="shared" ref="BE4:BF4" si="154">BD4</f>
        <v/>
      </c>
      <c r="BF4" s="21" t="str">
        <f t="shared" si="154"/>
        <v/>
      </c>
      <c r="BG4" s="19"/>
      <c r="BH4" s="20"/>
      <c r="BI4" s="20" t="str">
        <f t="shared" ref="BI4:BJ4" si="155">BH4</f>
        <v/>
      </c>
      <c r="BJ4" s="21" t="str">
        <f t="shared" si="155"/>
        <v/>
      </c>
      <c r="BK4" s="19"/>
      <c r="BL4" s="20"/>
      <c r="BM4" s="20" t="str">
        <f t="shared" ref="BM4:BN4" si="156">BL4</f>
        <v/>
      </c>
      <c r="BN4" s="21" t="str">
        <f t="shared" si="156"/>
        <v/>
      </c>
      <c r="BO4" s="19"/>
      <c r="BP4" s="20"/>
      <c r="BQ4" s="20" t="str">
        <f t="shared" ref="BQ4:BR4" si="157">BP4</f>
        <v/>
      </c>
      <c r="BR4" s="21" t="str">
        <f t="shared" si="157"/>
        <v/>
      </c>
      <c r="BS4" s="19"/>
      <c r="BT4" s="20"/>
      <c r="BU4" s="20" t="str">
        <f t="shared" ref="BU4:BV4" si="158">BT4</f>
        <v/>
      </c>
      <c r="BV4" s="21" t="str">
        <f t="shared" si="158"/>
        <v/>
      </c>
      <c r="BW4" s="19"/>
      <c r="BX4" s="20"/>
      <c r="BY4" s="20" t="str">
        <f t="shared" ref="BY4:BZ4" si="159">BX4</f>
        <v/>
      </c>
      <c r="BZ4" s="21" t="str">
        <f t="shared" si="159"/>
        <v/>
      </c>
      <c r="CA4" s="19"/>
      <c r="CB4" s="20"/>
      <c r="CC4" s="20" t="str">
        <f t="shared" ref="CC4:CD4" si="160">CB4</f>
        <v/>
      </c>
      <c r="CD4" s="21" t="str">
        <f t="shared" si="160"/>
        <v/>
      </c>
      <c r="CE4" s="19"/>
      <c r="CF4" s="20"/>
      <c r="CG4" s="20" t="str">
        <f t="shared" ref="CG4:CH4" si="161">CF4</f>
        <v/>
      </c>
      <c r="CH4" s="21" t="str">
        <f t="shared" si="161"/>
        <v/>
      </c>
      <c r="CI4" s="19"/>
      <c r="CJ4" s="20"/>
      <c r="CK4" s="20" t="str">
        <f t="shared" ref="CK4:CL4" si="162">CJ4</f>
        <v/>
      </c>
      <c r="CL4" s="21" t="str">
        <f t="shared" si="162"/>
        <v/>
      </c>
      <c r="CM4" s="19"/>
      <c r="CN4" s="20"/>
      <c r="CO4" s="20" t="str">
        <f t="shared" ref="CO4:CP4" si="163">CN4</f>
        <v/>
      </c>
      <c r="CP4" s="21" t="str">
        <f t="shared" si="163"/>
        <v/>
      </c>
      <c r="CQ4" s="19"/>
      <c r="CR4" s="20"/>
      <c r="CS4" s="20" t="str">
        <f t="shared" ref="CS4:CT4" si="164">CR4</f>
        <v/>
      </c>
      <c r="CT4" s="21" t="str">
        <f t="shared" si="164"/>
        <v/>
      </c>
      <c r="CU4" s="19"/>
      <c r="CV4" s="20"/>
      <c r="CW4" s="20" t="str">
        <f t="shared" ref="CW4:CX4" si="165">CV4</f>
        <v/>
      </c>
      <c r="CX4" s="21" t="str">
        <f t="shared" si="165"/>
        <v/>
      </c>
      <c r="CY4" s="19"/>
      <c r="CZ4" s="20"/>
      <c r="DA4" s="20" t="str">
        <f t="shared" ref="DA4:DB4" si="166">CZ4</f>
        <v/>
      </c>
      <c r="DB4" s="21" t="str">
        <f t="shared" si="166"/>
        <v/>
      </c>
      <c r="DC4" s="19"/>
      <c r="DD4" s="20"/>
      <c r="DE4" s="20" t="str">
        <f t="shared" ref="DE4:DF4" si="167">DD4</f>
        <v/>
      </c>
      <c r="DF4" s="21" t="str">
        <f t="shared" si="167"/>
        <v/>
      </c>
      <c r="DG4" s="19"/>
      <c r="DH4" s="20"/>
      <c r="DI4" s="20" t="str">
        <f t="shared" ref="DI4:DJ4" si="168">DH4</f>
        <v/>
      </c>
      <c r="DJ4" s="21" t="str">
        <f t="shared" si="168"/>
        <v/>
      </c>
      <c r="DK4" s="19"/>
      <c r="DL4" s="20"/>
      <c r="DM4" s="20" t="str">
        <f t="shared" ref="DM4:DN4" si="169">DL4</f>
        <v/>
      </c>
      <c r="DN4" s="21" t="str">
        <f t="shared" si="169"/>
        <v/>
      </c>
      <c r="DO4" s="19"/>
      <c r="DP4" s="20"/>
      <c r="DQ4" s="20" t="str">
        <f t="shared" ref="DQ4:DR4" si="170">DP4</f>
        <v/>
      </c>
      <c r="DR4" s="21" t="str">
        <f t="shared" si="170"/>
        <v/>
      </c>
      <c r="DS4" s="19"/>
      <c r="DT4" s="20"/>
      <c r="DU4" s="20" t="str">
        <f t="shared" ref="DU4:DV4" si="171">DT4</f>
        <v/>
      </c>
      <c r="DV4" s="21" t="str">
        <f t="shared" si="171"/>
        <v/>
      </c>
      <c r="DW4" s="19"/>
      <c r="DX4" s="20"/>
      <c r="DY4" s="20" t="str">
        <f t="shared" ref="DY4:DZ4" si="172">DX4</f>
        <v/>
      </c>
      <c r="DZ4" s="21" t="str">
        <f t="shared" si="172"/>
        <v/>
      </c>
      <c r="EA4" s="19"/>
      <c r="EB4" s="20"/>
      <c r="EC4" s="20" t="str">
        <f t="shared" ref="EC4:ED4" si="173">EB4</f>
        <v/>
      </c>
      <c r="ED4" s="21" t="str">
        <f t="shared" si="173"/>
        <v/>
      </c>
      <c r="EE4" s="19"/>
      <c r="EF4" s="20"/>
      <c r="EG4" s="20" t="str">
        <f t="shared" ref="EG4:EH4" si="174">EF4</f>
        <v/>
      </c>
      <c r="EH4" s="21" t="str">
        <f t="shared" si="174"/>
        <v/>
      </c>
      <c r="EI4" s="19"/>
      <c r="EJ4" s="21"/>
      <c r="EK4" s="21"/>
      <c r="EL4" s="21"/>
      <c r="EM4" s="19"/>
      <c r="EN4" s="20"/>
      <c r="EO4" s="20" t="str">
        <f t="shared" ref="EO4:EP4" si="175">EN4</f>
        <v/>
      </c>
      <c r="EP4" s="21" t="str">
        <f t="shared" si="175"/>
        <v/>
      </c>
      <c r="EQ4" s="19"/>
      <c r="ER4" s="20"/>
      <c r="ES4" s="20" t="str">
        <f t="shared" ref="ES4:ET4" si="176">ER4</f>
        <v/>
      </c>
      <c r="ET4" s="21" t="str">
        <f t="shared" si="176"/>
        <v/>
      </c>
      <c r="EU4" s="19"/>
      <c r="EV4" s="20"/>
      <c r="EW4" s="20" t="str">
        <f t="shared" ref="EW4:EX4" si="177">EV4</f>
        <v/>
      </c>
      <c r="EX4" s="21" t="str">
        <f t="shared" si="177"/>
        <v/>
      </c>
      <c r="EY4" s="19"/>
      <c r="EZ4" s="20"/>
      <c r="FA4" s="20" t="str">
        <f t="shared" ref="FA4:FB4" si="178">EZ4</f>
        <v/>
      </c>
      <c r="FB4" s="21" t="str">
        <f t="shared" si="178"/>
        <v/>
      </c>
      <c r="FC4" s="19"/>
      <c r="FD4" s="20"/>
      <c r="FE4" s="20" t="str">
        <f t="shared" ref="FE4:FF4" si="179">FD4</f>
        <v/>
      </c>
      <c r="FF4" s="21" t="str">
        <f t="shared" si="179"/>
        <v/>
      </c>
      <c r="FG4" s="19"/>
      <c r="FH4" s="20"/>
      <c r="FI4" s="20" t="str">
        <f t="shared" ref="FI4:FJ4" si="180">FH4</f>
        <v/>
      </c>
      <c r="FJ4" s="21" t="str">
        <f t="shared" si="180"/>
        <v/>
      </c>
      <c r="FK4" s="19"/>
      <c r="FL4" s="20"/>
      <c r="FM4" s="20" t="str">
        <f t="shared" ref="FM4:FN4" si="181">FL4</f>
        <v/>
      </c>
      <c r="FN4" s="21" t="str">
        <f t="shared" si="181"/>
        <v/>
      </c>
      <c r="FO4" s="19"/>
      <c r="FP4" s="20"/>
      <c r="FQ4" s="20" t="str">
        <f t="shared" ref="FQ4:FR4" si="182">FP4</f>
        <v/>
      </c>
      <c r="FR4" s="21" t="str">
        <f t="shared" si="182"/>
        <v/>
      </c>
      <c r="FS4" s="19"/>
      <c r="FT4" s="20"/>
      <c r="FU4" s="20" t="str">
        <f t="shared" ref="FU4:FV4" si="183">FT4</f>
        <v/>
      </c>
      <c r="FV4" s="21" t="str">
        <f t="shared" si="183"/>
        <v/>
      </c>
      <c r="FW4" s="19"/>
      <c r="FX4" s="20"/>
      <c r="FY4" s="20" t="str">
        <f t="shared" ref="FY4:FZ4" si="184">FX4</f>
        <v/>
      </c>
      <c r="FZ4" s="21" t="str">
        <f t="shared" si="184"/>
        <v/>
      </c>
      <c r="GA4" s="19"/>
      <c r="GB4" s="20"/>
      <c r="GC4" s="20" t="str">
        <f t="shared" ref="GC4:GD4" si="185">GB4</f>
        <v/>
      </c>
      <c r="GD4" s="21" t="str">
        <f t="shared" si="185"/>
        <v/>
      </c>
      <c r="GE4" s="19"/>
      <c r="GF4" s="20"/>
      <c r="GG4" s="20" t="str">
        <f t="shared" ref="GG4:GH4" si="186">GF4</f>
        <v/>
      </c>
      <c r="GH4" s="21" t="str">
        <f t="shared" si="186"/>
        <v/>
      </c>
      <c r="GI4" s="19"/>
      <c r="GJ4" s="20"/>
      <c r="GK4" s="20" t="str">
        <f t="shared" ref="GK4:GL4" si="187">GJ4</f>
        <v/>
      </c>
      <c r="GL4" s="20" t="str">
        <f t="shared" si="187"/>
        <v/>
      </c>
      <c r="GM4" s="22"/>
      <c r="GN4" s="20"/>
      <c r="GO4" s="20" t="str">
        <f t="shared" ref="GO4:GP4" si="188">GN4</f>
        <v/>
      </c>
      <c r="GP4" s="21" t="str">
        <f t="shared" si="188"/>
        <v/>
      </c>
      <c r="GQ4" s="19"/>
      <c r="GR4" s="20"/>
      <c r="GS4" s="20" t="str">
        <f t="shared" ref="GS4:GT4" si="189">GR4</f>
        <v/>
      </c>
      <c r="GT4" s="21" t="str">
        <f t="shared" si="189"/>
        <v/>
      </c>
      <c r="GU4" s="19"/>
      <c r="GV4" s="20"/>
      <c r="GW4" s="20" t="str">
        <f t="shared" ref="GW4:GX4" si="190">GV4</f>
        <v/>
      </c>
      <c r="GX4" s="21" t="str">
        <f t="shared" si="190"/>
        <v/>
      </c>
      <c r="GY4" s="19"/>
      <c r="GZ4" s="20"/>
      <c r="HA4" s="20" t="str">
        <f t="shared" ref="HA4:HB4" si="191">GZ4</f>
        <v/>
      </c>
      <c r="HB4" s="21" t="str">
        <f t="shared" si="191"/>
        <v/>
      </c>
      <c r="HC4" s="19"/>
      <c r="HD4" s="20"/>
      <c r="HE4" s="20" t="str">
        <f t="shared" ref="HE4:HF4" si="192">HD4</f>
        <v/>
      </c>
      <c r="HF4" s="21" t="str">
        <f t="shared" si="192"/>
        <v/>
      </c>
      <c r="HG4" s="19"/>
      <c r="HH4" s="20"/>
      <c r="HI4" s="20" t="str">
        <f t="shared" ref="HI4:HJ4" si="193">HH4</f>
        <v/>
      </c>
      <c r="HJ4" s="21" t="str">
        <f t="shared" si="193"/>
        <v/>
      </c>
      <c r="HK4" s="19"/>
      <c r="HL4" s="20"/>
      <c r="HM4" s="20" t="str">
        <f t="shared" ref="HM4:HN4" si="194">HL4</f>
        <v/>
      </c>
      <c r="HN4" s="21" t="str">
        <f t="shared" si="194"/>
        <v/>
      </c>
      <c r="HO4" s="19"/>
      <c r="HP4" s="20"/>
      <c r="HQ4" s="20" t="str">
        <f t="shared" ref="HQ4:HR4" si="195">HP4</f>
        <v/>
      </c>
      <c r="HR4" s="21" t="str">
        <f t="shared" si="195"/>
        <v/>
      </c>
      <c r="HS4" s="19"/>
      <c r="HT4" s="20"/>
      <c r="HU4" s="20" t="str">
        <f t="shared" ref="HU4:HV4" si="196">HT4</f>
        <v/>
      </c>
      <c r="HV4" s="21" t="str">
        <f t="shared" si="196"/>
        <v/>
      </c>
      <c r="HW4" s="19"/>
      <c r="HX4" s="20"/>
      <c r="HY4" s="20" t="str">
        <f t="shared" ref="HY4:HZ4" si="197">HX4</f>
        <v/>
      </c>
      <c r="HZ4" s="21" t="str">
        <f t="shared" si="197"/>
        <v/>
      </c>
      <c r="IA4" s="19"/>
      <c r="IB4" s="20"/>
      <c r="IC4" s="20" t="str">
        <f t="shared" ref="IC4:ID4" si="198">IB4</f>
        <v/>
      </c>
      <c r="ID4" s="21" t="str">
        <f t="shared" si="198"/>
        <v/>
      </c>
      <c r="IE4" s="19"/>
      <c r="IF4" s="20"/>
      <c r="IG4" s="20" t="str">
        <f t="shared" ref="IG4:IH4" si="199">IF4</f>
        <v/>
      </c>
      <c r="IH4" s="21" t="str">
        <f t="shared" si="199"/>
        <v/>
      </c>
      <c r="II4" s="19"/>
      <c r="IJ4" s="20"/>
      <c r="IK4" s="20" t="str">
        <f t="shared" ref="IK4:IL4" si="200">IJ4</f>
        <v/>
      </c>
      <c r="IL4" s="21" t="str">
        <f t="shared" si="200"/>
        <v/>
      </c>
      <c r="IM4" s="19"/>
      <c r="IN4" s="20"/>
      <c r="IO4" s="20" t="str">
        <f t="shared" ref="IO4:IP4" si="201">IN4</f>
        <v/>
      </c>
      <c r="IP4" s="21" t="str">
        <f t="shared" si="201"/>
        <v/>
      </c>
      <c r="IQ4" s="19"/>
      <c r="IR4" s="20"/>
      <c r="IS4" s="20" t="str">
        <f t="shared" ref="IS4:IT4" si="202">IR4</f>
        <v/>
      </c>
      <c r="IT4" s="21" t="str">
        <f t="shared" si="202"/>
        <v/>
      </c>
      <c r="IU4" s="19"/>
      <c r="IV4" s="20"/>
      <c r="IW4" s="20" t="str">
        <f t="shared" ref="IW4:IX4" si="203">IV4</f>
        <v/>
      </c>
      <c r="IX4" s="21" t="str">
        <f t="shared" si="203"/>
        <v/>
      </c>
      <c r="IY4" s="19"/>
      <c r="IZ4" s="20"/>
      <c r="JA4" s="20" t="str">
        <f t="shared" ref="JA4:JB4" si="204">IZ4</f>
        <v/>
      </c>
      <c r="JB4" s="21" t="str">
        <f t="shared" si="204"/>
        <v/>
      </c>
      <c r="JC4" s="19"/>
      <c r="JD4" s="20"/>
      <c r="JE4" s="20" t="str">
        <f t="shared" ref="JE4:JF4" si="205">JD4</f>
        <v/>
      </c>
      <c r="JF4" s="20" t="str">
        <f t="shared" si="205"/>
        <v/>
      </c>
      <c r="JG4" s="19"/>
      <c r="JH4" s="20"/>
      <c r="JI4" s="20" t="str">
        <f t="shared" ref="JI4:JJ4" si="206">JH4</f>
        <v/>
      </c>
      <c r="JJ4" s="21" t="str">
        <f t="shared" si="206"/>
        <v/>
      </c>
      <c r="JK4" s="19"/>
      <c r="JL4" s="20"/>
      <c r="JM4" s="20" t="str">
        <f t="shared" ref="JM4:JN4" si="207">JL4</f>
        <v/>
      </c>
      <c r="JN4" s="21" t="str">
        <f t="shared" si="207"/>
        <v/>
      </c>
      <c r="JO4" s="19"/>
      <c r="JP4" s="20"/>
      <c r="JQ4" s="20" t="str">
        <f t="shared" ref="JQ4:JR4" si="208">JP4</f>
        <v/>
      </c>
      <c r="JR4" s="21" t="str">
        <f t="shared" si="208"/>
        <v/>
      </c>
      <c r="JS4" s="19"/>
      <c r="JT4" s="20"/>
      <c r="JU4" s="20" t="str">
        <f t="shared" ref="JU4:JV4" si="209">JT4</f>
        <v/>
      </c>
      <c r="JV4" s="21" t="str">
        <f t="shared" si="209"/>
        <v/>
      </c>
      <c r="JW4" s="19"/>
      <c r="JX4" s="20"/>
      <c r="JY4" s="20" t="str">
        <f t="shared" ref="JY4:JZ4" si="210">JX4</f>
        <v/>
      </c>
      <c r="JZ4" s="21" t="str">
        <f t="shared" si="210"/>
        <v/>
      </c>
    </row>
    <row r="5" ht="15.75" customHeight="1">
      <c r="A5" s="24" t="s">
        <v>82</v>
      </c>
      <c r="B5" s="18"/>
      <c r="C5" s="25">
        <f>-(360000+34000+32000+8000+260000)</f>
        <v>-694000</v>
      </c>
      <c r="D5" s="26">
        <f>-(260000+36000+260000)</f>
        <v>-556000</v>
      </c>
      <c r="E5" s="26">
        <v>-554000.0</v>
      </c>
      <c r="F5" s="27">
        <f>E5</f>
        <v>-554000</v>
      </c>
      <c r="G5" s="25">
        <v>-61500.0</v>
      </c>
      <c r="H5" s="26">
        <f t="shared" ref="H5:I5" si="211">G5</f>
        <v>-61500</v>
      </c>
      <c r="I5" s="26">
        <f t="shared" si="211"/>
        <v>-61500</v>
      </c>
      <c r="J5" s="27">
        <v>-65500.0</v>
      </c>
      <c r="K5" s="25">
        <v>-3800000.0</v>
      </c>
      <c r="L5" s="26">
        <v>-3250000.0</v>
      </c>
      <c r="M5" s="26">
        <f>L5</f>
        <v>-3250000</v>
      </c>
      <c r="N5" s="27">
        <v>-3800000.0</v>
      </c>
      <c r="O5" s="25">
        <v>-39000.0</v>
      </c>
      <c r="P5" s="26">
        <v>-36000.0</v>
      </c>
      <c r="Q5" s="26">
        <f t="shared" ref="Q5:R5" si="212">P5</f>
        <v>-36000</v>
      </c>
      <c r="R5" s="27">
        <f t="shared" si="212"/>
        <v>-36000</v>
      </c>
      <c r="S5" s="25">
        <v>-68300.0</v>
      </c>
      <c r="T5" s="26">
        <v>-50000.0</v>
      </c>
      <c r="U5" s="26">
        <v>-62300.0</v>
      </c>
      <c r="V5" s="27">
        <f>U5</f>
        <v>-62300</v>
      </c>
      <c r="W5" s="25">
        <v>-233640.0</v>
      </c>
      <c r="X5" s="26">
        <f t="shared" ref="X5:Z5" si="213">W5</f>
        <v>-233640</v>
      </c>
      <c r="Y5" s="26">
        <f t="shared" si="213"/>
        <v>-233640</v>
      </c>
      <c r="Z5" s="27">
        <f t="shared" si="213"/>
        <v>-233640</v>
      </c>
      <c r="AA5" s="25">
        <f>-173404-53475</f>
        <v>-226879</v>
      </c>
      <c r="AB5" s="26">
        <f>-273404-53475</f>
        <v>-326879</v>
      </c>
      <c r="AC5" s="26">
        <f t="shared" ref="AC5:AD5" si="214">AB5</f>
        <v>-326879</v>
      </c>
      <c r="AD5" s="27">
        <f t="shared" si="214"/>
        <v>-326879</v>
      </c>
      <c r="AE5" s="25">
        <v>-65000.0</v>
      </c>
      <c r="AF5" s="26">
        <f t="shared" ref="AF5:AH5" si="215">AE5</f>
        <v>-65000</v>
      </c>
      <c r="AG5" s="26">
        <f t="shared" si="215"/>
        <v>-65000</v>
      </c>
      <c r="AH5" s="27">
        <f t="shared" si="215"/>
        <v>-65000</v>
      </c>
      <c r="AI5" s="25">
        <v>-19614.0</v>
      </c>
      <c r="AJ5" s="20">
        <v>0.0</v>
      </c>
      <c r="AK5" s="20">
        <v>-17689.0</v>
      </c>
      <c r="AL5" s="21">
        <v>-10539.0</v>
      </c>
      <c r="AM5" s="25">
        <v>-465000.0</v>
      </c>
      <c r="AN5" s="26">
        <f t="shared" ref="AN5:AP5" si="216">AM5</f>
        <v>-465000</v>
      </c>
      <c r="AO5" s="26">
        <f t="shared" si="216"/>
        <v>-465000</v>
      </c>
      <c r="AP5" s="27">
        <f t="shared" si="216"/>
        <v>-465000</v>
      </c>
      <c r="AQ5" s="25">
        <v>-199400.0</v>
      </c>
      <c r="AR5" s="26">
        <v>-55000.0</v>
      </c>
      <c r="AS5" s="26">
        <f t="shared" ref="AS5:AT5" si="217">AR5</f>
        <v>-55000</v>
      </c>
      <c r="AT5" s="27">
        <f t="shared" si="217"/>
        <v>-55000</v>
      </c>
      <c r="AU5" s="25">
        <f t="shared" ref="AU5:AV5" si="218">-210150-367500</f>
        <v>-577650</v>
      </c>
      <c r="AV5" s="26">
        <f t="shared" si="218"/>
        <v>-577650</v>
      </c>
      <c r="AW5" s="26">
        <f t="shared" ref="AW5:AX5" si="219">AV5</f>
        <v>-577650</v>
      </c>
      <c r="AX5" s="27">
        <f t="shared" si="219"/>
        <v>-577650</v>
      </c>
      <c r="AY5" s="25">
        <v>-53550.0</v>
      </c>
      <c r="AZ5" s="26">
        <f t="shared" ref="AZ5:BB5" si="220">AY5</f>
        <v>-53550</v>
      </c>
      <c r="BA5" s="26">
        <f t="shared" si="220"/>
        <v>-53550</v>
      </c>
      <c r="BB5" s="26">
        <f t="shared" si="220"/>
        <v>-53550</v>
      </c>
      <c r="BC5" s="28">
        <v>-1010640.0</v>
      </c>
      <c r="BD5" s="26">
        <v>-1010640.0</v>
      </c>
      <c r="BE5" s="26">
        <f t="shared" ref="BE5:BF5" si="221">BD5</f>
        <v>-1010640</v>
      </c>
      <c r="BF5" s="27">
        <f t="shared" si="221"/>
        <v>-1010640</v>
      </c>
      <c r="BG5" s="25">
        <v>-85200.0</v>
      </c>
      <c r="BH5" s="20">
        <v>0.0</v>
      </c>
      <c r="BI5" s="20">
        <f>BH5</f>
        <v>0</v>
      </c>
      <c r="BJ5" s="21">
        <v>-20000.0</v>
      </c>
      <c r="BK5" s="25">
        <v>-1449000.0</v>
      </c>
      <c r="BL5" s="26">
        <f t="shared" ref="BL5:BN5" si="222">BK5</f>
        <v>-1449000</v>
      </c>
      <c r="BM5" s="26">
        <f t="shared" si="222"/>
        <v>-1449000</v>
      </c>
      <c r="BN5" s="27">
        <f t="shared" si="222"/>
        <v>-1449000</v>
      </c>
      <c r="BO5" s="25">
        <v>-233610.0</v>
      </c>
      <c r="BP5" s="26">
        <f t="shared" ref="BP5:BR5" si="223">BO5</f>
        <v>-233610</v>
      </c>
      <c r="BQ5" s="26">
        <f t="shared" si="223"/>
        <v>-233610</v>
      </c>
      <c r="BR5" s="27">
        <f t="shared" si="223"/>
        <v>-233610</v>
      </c>
      <c r="BS5" s="25">
        <v>-78540.0</v>
      </c>
      <c r="BT5" s="26">
        <f t="shared" ref="BT5:BV5" si="224">BS5</f>
        <v>-78540</v>
      </c>
      <c r="BU5" s="26">
        <f t="shared" si="224"/>
        <v>-78540</v>
      </c>
      <c r="BV5" s="27">
        <f t="shared" si="224"/>
        <v>-78540</v>
      </c>
      <c r="BW5" s="25">
        <v>-42780.0</v>
      </c>
      <c r="BX5" s="26">
        <f t="shared" ref="BX5:BZ5" si="225">BW5</f>
        <v>-42780</v>
      </c>
      <c r="BY5" s="26">
        <f t="shared" si="225"/>
        <v>-42780</v>
      </c>
      <c r="BZ5" s="27">
        <f t="shared" si="225"/>
        <v>-42780</v>
      </c>
      <c r="CA5" s="25">
        <v>-196080.0</v>
      </c>
      <c r="CB5" s="26">
        <f t="shared" ref="CB5:CD5" si="226">CA5</f>
        <v>-196080</v>
      </c>
      <c r="CC5" s="26">
        <f t="shared" si="226"/>
        <v>-196080</v>
      </c>
      <c r="CD5" s="27">
        <f t="shared" si="226"/>
        <v>-196080</v>
      </c>
      <c r="CE5" s="25">
        <v>-282750.0</v>
      </c>
      <c r="CF5" s="26">
        <f t="shared" ref="CF5:CH5" si="227">CE5</f>
        <v>-282750</v>
      </c>
      <c r="CG5" s="26">
        <f t="shared" si="227"/>
        <v>-282750</v>
      </c>
      <c r="CH5" s="27">
        <f t="shared" si="227"/>
        <v>-282750</v>
      </c>
      <c r="CI5" s="25">
        <v>-212610.0</v>
      </c>
      <c r="CJ5" s="26">
        <f t="shared" ref="CJ5:CL5" si="228">CI5</f>
        <v>-212610</v>
      </c>
      <c r="CK5" s="26">
        <f t="shared" si="228"/>
        <v>-212610</v>
      </c>
      <c r="CL5" s="27">
        <f t="shared" si="228"/>
        <v>-212610</v>
      </c>
      <c r="CM5" s="25">
        <v>-42780.0</v>
      </c>
      <c r="CN5" s="26">
        <f t="shared" ref="CN5:CP5" si="229">CM5</f>
        <v>-42780</v>
      </c>
      <c r="CO5" s="26">
        <f t="shared" si="229"/>
        <v>-42780</v>
      </c>
      <c r="CP5" s="26">
        <f t="shared" si="229"/>
        <v>-42780</v>
      </c>
      <c r="CQ5" s="28">
        <v>-186180.0</v>
      </c>
      <c r="CR5" s="26">
        <f t="shared" ref="CR5:CT5" si="230">CQ5</f>
        <v>-186180</v>
      </c>
      <c r="CS5" s="26">
        <f t="shared" si="230"/>
        <v>-186180</v>
      </c>
      <c r="CT5" s="26">
        <f t="shared" si="230"/>
        <v>-186180</v>
      </c>
      <c r="CU5" s="28">
        <v>-47520.0</v>
      </c>
      <c r="CV5" s="26">
        <f t="shared" ref="CV5:CX5" si="231">CU5</f>
        <v>-47520</v>
      </c>
      <c r="CW5" s="26">
        <f t="shared" si="231"/>
        <v>-47520</v>
      </c>
      <c r="CX5" s="27">
        <f t="shared" si="231"/>
        <v>-47520</v>
      </c>
      <c r="CY5" s="25">
        <v>-530250.0</v>
      </c>
      <c r="CZ5" s="26">
        <v>-530250.0</v>
      </c>
      <c r="DA5" s="26">
        <f t="shared" ref="DA5:DB5" si="232">CZ5</f>
        <v>-530250</v>
      </c>
      <c r="DB5" s="27">
        <f t="shared" si="232"/>
        <v>-530250</v>
      </c>
      <c r="DC5" s="25">
        <v>-210750.0</v>
      </c>
      <c r="DD5" s="26">
        <f t="shared" ref="DD5:DF5" si="233">DC5</f>
        <v>-210750</v>
      </c>
      <c r="DE5" s="26">
        <f t="shared" si="233"/>
        <v>-210750</v>
      </c>
      <c r="DF5" s="27">
        <f t="shared" si="233"/>
        <v>-210750</v>
      </c>
      <c r="DG5" s="25">
        <v>-174780.0</v>
      </c>
      <c r="DH5" s="26">
        <f t="shared" ref="DH5:DJ5" si="234">DG5</f>
        <v>-174780</v>
      </c>
      <c r="DI5" s="26">
        <f t="shared" si="234"/>
        <v>-174780</v>
      </c>
      <c r="DJ5" s="27">
        <f t="shared" si="234"/>
        <v>-174780</v>
      </c>
      <c r="DK5" s="25">
        <v>-190500.0</v>
      </c>
      <c r="DL5" s="26">
        <f t="shared" ref="DL5:DN5" si="235">DK5</f>
        <v>-190500</v>
      </c>
      <c r="DM5" s="26">
        <f t="shared" si="235"/>
        <v>-190500</v>
      </c>
      <c r="DN5" s="27">
        <f t="shared" si="235"/>
        <v>-190500</v>
      </c>
      <c r="DO5" s="25">
        <v>-249750.0</v>
      </c>
      <c r="DP5" s="26">
        <f t="shared" ref="DP5:DR5" si="236">DO5</f>
        <v>-249750</v>
      </c>
      <c r="DQ5" s="26">
        <f t="shared" si="236"/>
        <v>-249750</v>
      </c>
      <c r="DR5" s="27">
        <f t="shared" si="236"/>
        <v>-249750</v>
      </c>
      <c r="DS5" s="25">
        <v>-131250.0</v>
      </c>
      <c r="DT5" s="26">
        <f t="shared" ref="DT5:DV5" si="237">DS5</f>
        <v>-131250</v>
      </c>
      <c r="DU5" s="26">
        <f t="shared" si="237"/>
        <v>-131250</v>
      </c>
      <c r="DV5" s="27">
        <f t="shared" si="237"/>
        <v>-131250</v>
      </c>
      <c r="DW5" s="25">
        <v>-43440.0</v>
      </c>
      <c r="DX5" s="26">
        <f t="shared" ref="DX5:DZ5" si="238">DW5</f>
        <v>-43440</v>
      </c>
      <c r="DY5" s="26">
        <f t="shared" si="238"/>
        <v>-43440</v>
      </c>
      <c r="DZ5" s="27">
        <f t="shared" si="238"/>
        <v>-43440</v>
      </c>
      <c r="EA5" s="25">
        <f>-611250-50000</f>
        <v>-661250</v>
      </c>
      <c r="EB5" s="26">
        <f t="shared" ref="EB5:ED5" si="239">EA5</f>
        <v>-661250</v>
      </c>
      <c r="EC5" s="26">
        <f t="shared" si="239"/>
        <v>-661250</v>
      </c>
      <c r="ED5" s="27">
        <f t="shared" si="239"/>
        <v>-661250</v>
      </c>
      <c r="EE5" s="25">
        <v>-111750.0</v>
      </c>
      <c r="EF5" s="26">
        <f t="shared" ref="EF5:EH5" si="240">EE5</f>
        <v>-111750</v>
      </c>
      <c r="EG5" s="26">
        <f t="shared" si="240"/>
        <v>-111750</v>
      </c>
      <c r="EH5" s="27">
        <f t="shared" si="240"/>
        <v>-111750</v>
      </c>
      <c r="EI5" s="25">
        <v>-36000.0</v>
      </c>
      <c r="EJ5" s="27">
        <f t="shared" ref="EJ5:EK5" si="241">EI5</f>
        <v>-36000</v>
      </c>
      <c r="EK5" s="27">
        <f t="shared" si="241"/>
        <v>-36000</v>
      </c>
      <c r="EL5" s="27">
        <f t="shared" ref="EL5:EL10" si="296">EI5</f>
        <v>-36000</v>
      </c>
      <c r="EM5" s="25">
        <v>-36000.0</v>
      </c>
      <c r="EN5" s="26">
        <f t="shared" ref="EN5:EP5" si="242">EM5</f>
        <v>-36000</v>
      </c>
      <c r="EO5" s="26">
        <f t="shared" si="242"/>
        <v>-36000</v>
      </c>
      <c r="EP5" s="27">
        <f t="shared" si="242"/>
        <v>-36000</v>
      </c>
      <c r="EQ5" s="25">
        <v>-141750.0</v>
      </c>
      <c r="ER5" s="26">
        <f t="shared" ref="ER5:ET5" si="243">EQ5</f>
        <v>-141750</v>
      </c>
      <c r="ES5" s="26">
        <f t="shared" si="243"/>
        <v>-141750</v>
      </c>
      <c r="ET5" s="27">
        <f t="shared" si="243"/>
        <v>-141750</v>
      </c>
      <c r="EU5" s="25">
        <v>-54800.0</v>
      </c>
      <c r="EV5" s="20">
        <v>0.0</v>
      </c>
      <c r="EW5" s="20">
        <v>-48400.0</v>
      </c>
      <c r="EX5" s="21">
        <f>EW5</f>
        <v>-48400</v>
      </c>
      <c r="EY5" s="25">
        <v>-30100.0</v>
      </c>
      <c r="EZ5" s="26">
        <v>-21100.0</v>
      </c>
      <c r="FA5" s="26">
        <v>-24100.0</v>
      </c>
      <c r="FB5" s="27">
        <f>FA5</f>
        <v>-24100</v>
      </c>
      <c r="FC5" s="25">
        <v>-70000.0</v>
      </c>
      <c r="FD5" s="26">
        <f t="shared" ref="FD5:FF5" si="244">FC5</f>
        <v>-70000</v>
      </c>
      <c r="FE5" s="26">
        <f t="shared" si="244"/>
        <v>-70000</v>
      </c>
      <c r="FF5" s="27">
        <f t="shared" si="244"/>
        <v>-70000</v>
      </c>
      <c r="FG5" s="25">
        <v>-43300.0</v>
      </c>
      <c r="FH5" s="26">
        <f>FG5</f>
        <v>-43300</v>
      </c>
      <c r="FI5" s="26">
        <f>-49610+4330</f>
        <v>-45280</v>
      </c>
      <c r="FJ5" s="27">
        <f>FI5</f>
        <v>-45280</v>
      </c>
      <c r="FK5" s="25">
        <v>-13600.0</v>
      </c>
      <c r="FL5" s="26">
        <f t="shared" ref="FL5:FN5" si="245">FK5</f>
        <v>-13600</v>
      </c>
      <c r="FM5" s="26">
        <f t="shared" si="245"/>
        <v>-13600</v>
      </c>
      <c r="FN5" s="27">
        <f t="shared" si="245"/>
        <v>-13600</v>
      </c>
      <c r="FO5" s="25">
        <v>-20800.0</v>
      </c>
      <c r="FP5" s="26">
        <v>-10800.0</v>
      </c>
      <c r="FQ5" s="26">
        <v>-11250.0</v>
      </c>
      <c r="FR5" s="27">
        <f>FQ5</f>
        <v>-11250</v>
      </c>
      <c r="FS5" s="25">
        <v>-124800.0</v>
      </c>
      <c r="FT5" s="26">
        <v>-30000.0</v>
      </c>
      <c r="FU5" s="26">
        <v>-90000.0</v>
      </c>
      <c r="FV5" s="27">
        <v>-114800.0</v>
      </c>
      <c r="FW5" s="25">
        <v>-34700.0</v>
      </c>
      <c r="FX5" s="26">
        <v>-25000.0</v>
      </c>
      <c r="FY5" s="26">
        <v>-29810.0</v>
      </c>
      <c r="FZ5" s="27">
        <f>FY5</f>
        <v>-29810</v>
      </c>
      <c r="GA5" s="25">
        <v>-47610.0</v>
      </c>
      <c r="GB5" s="26">
        <f t="shared" ref="GB5:GD5" si="246">GA5</f>
        <v>-47610</v>
      </c>
      <c r="GC5" s="26">
        <f t="shared" si="246"/>
        <v>-47610</v>
      </c>
      <c r="GD5" s="27">
        <f t="shared" si="246"/>
        <v>-47610</v>
      </c>
      <c r="GE5" s="25">
        <v>-16000.0</v>
      </c>
      <c r="GF5" s="26">
        <v>-11750.0</v>
      </c>
      <c r="GG5" s="26">
        <v>-16000.0</v>
      </c>
      <c r="GH5" s="27">
        <f>GG5</f>
        <v>-16000</v>
      </c>
      <c r="GI5" s="25">
        <v>-83350.0</v>
      </c>
      <c r="GJ5" s="26">
        <f t="shared" ref="GJ5:GL5" si="247">GI5</f>
        <v>-83350</v>
      </c>
      <c r="GK5" s="26">
        <f t="shared" si="247"/>
        <v>-83350</v>
      </c>
      <c r="GL5" s="26">
        <f t="shared" si="247"/>
        <v>-83350</v>
      </c>
      <c r="GM5" s="22">
        <v>0.0</v>
      </c>
      <c r="GN5" s="20">
        <f t="shared" ref="GN5:GP5" si="248">GM5</f>
        <v>0</v>
      </c>
      <c r="GO5" s="20">
        <f t="shared" si="248"/>
        <v>0</v>
      </c>
      <c r="GP5" s="21">
        <f t="shared" si="248"/>
        <v>0</v>
      </c>
      <c r="GQ5" s="25">
        <v>-20000.0</v>
      </c>
      <c r="GR5" s="26">
        <f t="shared" ref="GR5:GS5" si="249">GQ5</f>
        <v>-20000</v>
      </c>
      <c r="GS5" s="26">
        <f t="shared" si="249"/>
        <v>-20000</v>
      </c>
      <c r="GT5" s="27">
        <f>GS5-5000</f>
        <v>-25000</v>
      </c>
      <c r="GU5" s="25">
        <v>-17200.0</v>
      </c>
      <c r="GV5" s="20">
        <v>0.0</v>
      </c>
      <c r="GW5" s="20">
        <f>-17200-1230</f>
        <v>-18430</v>
      </c>
      <c r="GX5" s="21">
        <v>0.0</v>
      </c>
      <c r="GY5" s="25">
        <v>-47610.0</v>
      </c>
      <c r="GZ5" s="26">
        <f t="shared" ref="GZ5:HB5" si="250">GY5</f>
        <v>-47610</v>
      </c>
      <c r="HA5" s="26">
        <f t="shared" si="250"/>
        <v>-47610</v>
      </c>
      <c r="HB5" s="27">
        <f t="shared" si="250"/>
        <v>-47610</v>
      </c>
      <c r="HC5" s="25">
        <v>-69500.0</v>
      </c>
      <c r="HD5" s="26">
        <v>-55000.0</v>
      </c>
      <c r="HE5" s="26">
        <f t="shared" ref="HE5:HF5" si="251">HD5</f>
        <v>-55000</v>
      </c>
      <c r="HF5" s="27">
        <f t="shared" si="251"/>
        <v>-55000</v>
      </c>
      <c r="HG5" s="25">
        <v>-61159.4</v>
      </c>
      <c r="HH5" s="26">
        <v>-11159.4</v>
      </c>
      <c r="HI5" s="26">
        <f t="shared" ref="HI5:HJ5" si="252">HH5</f>
        <v>-11159.4</v>
      </c>
      <c r="HJ5" s="27">
        <f t="shared" si="252"/>
        <v>-11159.4</v>
      </c>
      <c r="HK5" s="25">
        <v>-9400.0</v>
      </c>
      <c r="HL5" s="26">
        <f t="shared" ref="HL5:HN5" si="253">HK5</f>
        <v>-9400</v>
      </c>
      <c r="HM5" s="26">
        <f t="shared" si="253"/>
        <v>-9400</v>
      </c>
      <c r="HN5" s="27">
        <f t="shared" si="253"/>
        <v>-9400</v>
      </c>
      <c r="HO5" s="25">
        <v>-84175.0</v>
      </c>
      <c r="HP5" s="26">
        <v>-30000.0</v>
      </c>
      <c r="HQ5" s="26">
        <f>-55950-670</f>
        <v>-56620</v>
      </c>
      <c r="HR5" s="27">
        <f>HQ5</f>
        <v>-56620</v>
      </c>
      <c r="HS5" s="25">
        <f>-62050</f>
        <v>-62050</v>
      </c>
      <c r="HT5" s="26">
        <f t="shared" ref="HT5:HV5" si="254">HS5</f>
        <v>-62050</v>
      </c>
      <c r="HU5" s="26">
        <f t="shared" si="254"/>
        <v>-62050</v>
      </c>
      <c r="HV5" s="27">
        <f t="shared" si="254"/>
        <v>-62050</v>
      </c>
      <c r="HW5" s="25">
        <v>-15000.0</v>
      </c>
      <c r="HX5" s="26">
        <v>-13200.0</v>
      </c>
      <c r="HY5" s="26">
        <v>-6600.0</v>
      </c>
      <c r="HZ5" s="27">
        <v>-13200.0</v>
      </c>
      <c r="IA5" s="25">
        <v>-9200.0</v>
      </c>
      <c r="IB5" s="26">
        <v>-7300.0</v>
      </c>
      <c r="IC5" s="26">
        <v>-5900.0</v>
      </c>
      <c r="ID5" s="27">
        <v>-12900.0</v>
      </c>
      <c r="IE5" s="25">
        <v>-5400.0</v>
      </c>
      <c r="IF5" s="26">
        <f>IE5</f>
        <v>-5400</v>
      </c>
      <c r="IG5" s="26">
        <v>-6100.0</v>
      </c>
      <c r="IH5" s="27">
        <v>-10500.0</v>
      </c>
      <c r="II5" s="25">
        <v>-27500.0</v>
      </c>
      <c r="IJ5" s="26">
        <f t="shared" ref="IJ5:IL5" si="255">II5</f>
        <v>-27500</v>
      </c>
      <c r="IK5" s="26">
        <f t="shared" si="255"/>
        <v>-27500</v>
      </c>
      <c r="IL5" s="27">
        <f t="shared" si="255"/>
        <v>-27500</v>
      </c>
      <c r="IM5" s="25">
        <v>-36600.0</v>
      </c>
      <c r="IN5" s="26">
        <f>IM5</f>
        <v>-36600</v>
      </c>
      <c r="IO5" s="26">
        <f>IN5+1320</f>
        <v>-35280</v>
      </c>
      <c r="IP5" s="27">
        <f>IO5</f>
        <v>-35280</v>
      </c>
      <c r="IQ5" s="25">
        <v>-54000.0</v>
      </c>
      <c r="IR5" s="26">
        <f>IQ5</f>
        <v>-54000</v>
      </c>
      <c r="IS5" s="26">
        <f>IR5+420</f>
        <v>-53580</v>
      </c>
      <c r="IT5" s="27">
        <f>IS5</f>
        <v>-53580</v>
      </c>
      <c r="IU5" s="25">
        <v>-35700.0</v>
      </c>
      <c r="IV5" s="26">
        <v>-27000.0</v>
      </c>
      <c r="IW5" s="26">
        <v>-23000.0</v>
      </c>
      <c r="IX5" s="27">
        <v>-20700.0</v>
      </c>
      <c r="IY5" s="25">
        <v>-40000.0</v>
      </c>
      <c r="IZ5" s="26">
        <f t="shared" ref="IZ5:JB5" si="256">IY5</f>
        <v>-40000</v>
      </c>
      <c r="JA5" s="26">
        <f t="shared" si="256"/>
        <v>-40000</v>
      </c>
      <c r="JB5" s="27">
        <f t="shared" si="256"/>
        <v>-40000</v>
      </c>
      <c r="JC5" s="25">
        <v>-100000.0</v>
      </c>
      <c r="JD5" s="26">
        <f>JC5</f>
        <v>-100000</v>
      </c>
      <c r="JE5" s="26">
        <f>JD5+2910</f>
        <v>-97090</v>
      </c>
      <c r="JF5" s="26">
        <f>JE5</f>
        <v>-97090</v>
      </c>
      <c r="JG5" s="25">
        <v>0.0</v>
      </c>
      <c r="JH5" s="26">
        <f t="shared" ref="JH5:JJ5" si="257">JG5</f>
        <v>0</v>
      </c>
      <c r="JI5" s="26">
        <f t="shared" si="257"/>
        <v>0</v>
      </c>
      <c r="JJ5" s="27">
        <f t="shared" si="257"/>
        <v>0</v>
      </c>
      <c r="JK5" s="25">
        <v>-25000.0</v>
      </c>
      <c r="JL5" s="26">
        <v>-20000.0</v>
      </c>
      <c r="JM5" s="26">
        <f t="shared" ref="JM5:JN5" si="258">JL5</f>
        <v>-20000</v>
      </c>
      <c r="JN5" s="27">
        <f t="shared" si="258"/>
        <v>-20000</v>
      </c>
      <c r="JO5" s="25">
        <v>-9450.0</v>
      </c>
      <c r="JP5" s="20">
        <v>0.0</v>
      </c>
      <c r="JQ5" s="20">
        <v>-9450.0</v>
      </c>
      <c r="JR5" s="21">
        <f>JQ5</f>
        <v>-9450</v>
      </c>
      <c r="JS5" s="25">
        <v>-1000.0</v>
      </c>
      <c r="JT5" s="26">
        <f t="shared" ref="JT5:JV5" si="259">JS5</f>
        <v>-1000</v>
      </c>
      <c r="JU5" s="26">
        <f t="shared" si="259"/>
        <v>-1000</v>
      </c>
      <c r="JV5" s="27">
        <f t="shared" si="259"/>
        <v>-1000</v>
      </c>
      <c r="JW5" s="25">
        <v>-53475.0</v>
      </c>
      <c r="JX5" s="26">
        <v>-53475.0</v>
      </c>
      <c r="JY5" s="26">
        <f t="shared" ref="JY5:JZ5" si="260">JX5</f>
        <v>-53475</v>
      </c>
      <c r="JZ5" s="27">
        <f t="shared" si="260"/>
        <v>-53475</v>
      </c>
    </row>
    <row r="6" ht="15.75" customHeight="1">
      <c r="A6" s="24" t="s">
        <v>83</v>
      </c>
      <c r="B6" s="18"/>
      <c r="C6" s="19">
        <v>0.0</v>
      </c>
      <c r="D6" s="20">
        <v>0.0</v>
      </c>
      <c r="E6" s="20">
        <f t="shared" ref="E6:F6" si="261">D6</f>
        <v>0</v>
      </c>
      <c r="F6" s="21">
        <f t="shared" si="261"/>
        <v>0</v>
      </c>
      <c r="G6" s="19">
        <v>0.0</v>
      </c>
      <c r="H6" s="20">
        <f t="shared" ref="H6:J6" si="262">G6</f>
        <v>0</v>
      </c>
      <c r="I6" s="20">
        <f t="shared" si="262"/>
        <v>0</v>
      </c>
      <c r="J6" s="21">
        <f t="shared" si="262"/>
        <v>0</v>
      </c>
      <c r="K6" s="19">
        <v>0.0</v>
      </c>
      <c r="L6" s="20">
        <f t="shared" ref="L6:N6" si="263">K6</f>
        <v>0</v>
      </c>
      <c r="M6" s="20">
        <f t="shared" si="263"/>
        <v>0</v>
      </c>
      <c r="N6" s="21">
        <f t="shared" si="263"/>
        <v>0</v>
      </c>
      <c r="O6" s="19">
        <v>0.0</v>
      </c>
      <c r="P6" s="20">
        <f t="shared" ref="P6:R6" si="264">O6</f>
        <v>0</v>
      </c>
      <c r="Q6" s="20">
        <f t="shared" si="264"/>
        <v>0</v>
      </c>
      <c r="R6" s="21">
        <f t="shared" si="264"/>
        <v>0</v>
      </c>
      <c r="S6" s="19">
        <v>0.0</v>
      </c>
      <c r="T6" s="20">
        <f t="shared" ref="T6:V6" si="265">S6</f>
        <v>0</v>
      </c>
      <c r="U6" s="20">
        <f t="shared" si="265"/>
        <v>0</v>
      </c>
      <c r="V6" s="21">
        <f t="shared" si="265"/>
        <v>0</v>
      </c>
      <c r="W6" s="25">
        <v>-31753.8</v>
      </c>
      <c r="X6" s="20">
        <v>0.0</v>
      </c>
      <c r="Y6" s="20">
        <f t="shared" ref="Y6:Z6" si="266">X6</f>
        <v>0</v>
      </c>
      <c r="Z6" s="21">
        <f t="shared" si="266"/>
        <v>0</v>
      </c>
      <c r="AA6" s="19">
        <v>0.0</v>
      </c>
      <c r="AB6" s="20">
        <f t="shared" ref="AB6:AD6" si="267">AA6</f>
        <v>0</v>
      </c>
      <c r="AC6" s="20">
        <f t="shared" si="267"/>
        <v>0</v>
      </c>
      <c r="AD6" s="21">
        <f t="shared" si="267"/>
        <v>0</v>
      </c>
      <c r="AE6" s="19">
        <v>0.0</v>
      </c>
      <c r="AF6" s="20">
        <f t="shared" ref="AF6:AH6" si="268">AE6</f>
        <v>0</v>
      </c>
      <c r="AG6" s="20">
        <f t="shared" si="268"/>
        <v>0</v>
      </c>
      <c r="AH6" s="21">
        <f t="shared" si="268"/>
        <v>0</v>
      </c>
      <c r="AI6" s="19">
        <v>0.0</v>
      </c>
      <c r="AJ6" s="20">
        <f t="shared" ref="AJ6:AL6" si="269">AI6</f>
        <v>0</v>
      </c>
      <c r="AK6" s="20">
        <f t="shared" si="269"/>
        <v>0</v>
      </c>
      <c r="AL6" s="21">
        <f t="shared" si="269"/>
        <v>0</v>
      </c>
      <c r="AM6" s="19">
        <v>0.0</v>
      </c>
      <c r="AN6" s="20">
        <f t="shared" ref="AN6:AP6" si="270">AM6</f>
        <v>0</v>
      </c>
      <c r="AO6" s="20">
        <f t="shared" si="270"/>
        <v>0</v>
      </c>
      <c r="AP6" s="21">
        <f t="shared" si="270"/>
        <v>0</v>
      </c>
      <c r="AQ6" s="19">
        <v>0.0</v>
      </c>
      <c r="AR6" s="26">
        <v>0.0</v>
      </c>
      <c r="AS6" s="26">
        <f t="shared" ref="AS6:AT6" si="271">AR6</f>
        <v>0</v>
      </c>
      <c r="AT6" s="27">
        <f t="shared" si="271"/>
        <v>0</v>
      </c>
      <c r="AU6" s="25">
        <v>-132500.0</v>
      </c>
      <c r="AV6" s="20">
        <v>0.0</v>
      </c>
      <c r="AW6" s="20">
        <f t="shared" ref="AW6:AX6" si="272">AV6</f>
        <v>0</v>
      </c>
      <c r="AX6" s="21">
        <f t="shared" si="272"/>
        <v>0</v>
      </c>
      <c r="AY6" s="19">
        <v>0.0</v>
      </c>
      <c r="AZ6" s="26">
        <v>0.0</v>
      </c>
      <c r="BA6" s="26">
        <f t="shared" ref="BA6:BB6" si="273">AZ6</f>
        <v>0</v>
      </c>
      <c r="BB6" s="27">
        <f t="shared" si="273"/>
        <v>0</v>
      </c>
      <c r="BC6" s="25">
        <v>0.0</v>
      </c>
      <c r="BD6" s="26">
        <v>0.0</v>
      </c>
      <c r="BE6" s="26">
        <f t="shared" ref="BE6:BF6" si="274">BD6</f>
        <v>0</v>
      </c>
      <c r="BF6" s="27">
        <f t="shared" si="274"/>
        <v>0</v>
      </c>
      <c r="BG6" s="19">
        <v>0.0</v>
      </c>
      <c r="BH6" s="20">
        <f t="shared" ref="BH6:BJ6" si="275">BG6</f>
        <v>0</v>
      </c>
      <c r="BI6" s="20">
        <f t="shared" si="275"/>
        <v>0</v>
      </c>
      <c r="BJ6" s="21">
        <f t="shared" si="275"/>
        <v>0</v>
      </c>
      <c r="BK6" s="19">
        <v>0.0</v>
      </c>
      <c r="BL6" s="20">
        <f t="shared" ref="BL6:BN6" si="276">BK6</f>
        <v>0</v>
      </c>
      <c r="BM6" s="20">
        <f t="shared" si="276"/>
        <v>0</v>
      </c>
      <c r="BN6" s="21">
        <f t="shared" si="276"/>
        <v>0</v>
      </c>
      <c r="BO6" s="19">
        <v>0.0</v>
      </c>
      <c r="BP6" s="20">
        <f t="shared" ref="BP6:BR6" si="277">BO6</f>
        <v>0</v>
      </c>
      <c r="BQ6" s="20">
        <f t="shared" si="277"/>
        <v>0</v>
      </c>
      <c r="BR6" s="21">
        <f t="shared" si="277"/>
        <v>0</v>
      </c>
      <c r="BS6" s="19">
        <v>0.0</v>
      </c>
      <c r="BT6" s="20">
        <f t="shared" ref="BT6:BV6" si="278">BS6</f>
        <v>0</v>
      </c>
      <c r="BU6" s="20">
        <f t="shared" si="278"/>
        <v>0</v>
      </c>
      <c r="BV6" s="21">
        <f t="shared" si="278"/>
        <v>0</v>
      </c>
      <c r="BW6" s="19">
        <v>0.0</v>
      </c>
      <c r="BX6" s="20">
        <f t="shared" ref="BX6:BZ6" si="279">BW6</f>
        <v>0</v>
      </c>
      <c r="BY6" s="20">
        <f t="shared" si="279"/>
        <v>0</v>
      </c>
      <c r="BZ6" s="21">
        <f t="shared" si="279"/>
        <v>0</v>
      </c>
      <c r="CA6" s="19">
        <v>0.0</v>
      </c>
      <c r="CB6" s="20">
        <f t="shared" ref="CB6:CD6" si="280">CA6</f>
        <v>0</v>
      </c>
      <c r="CC6" s="20">
        <f t="shared" si="280"/>
        <v>0</v>
      </c>
      <c r="CD6" s="21">
        <f t="shared" si="280"/>
        <v>0</v>
      </c>
      <c r="CE6" s="25">
        <f>-53472.85</f>
        <v>-53472.85</v>
      </c>
      <c r="CF6" s="26">
        <v>0.0</v>
      </c>
      <c r="CG6" s="26">
        <f t="shared" ref="CG6:CH6" si="281">CF6</f>
        <v>0</v>
      </c>
      <c r="CH6" s="27">
        <f t="shared" si="281"/>
        <v>0</v>
      </c>
      <c r="CI6" s="19">
        <v>0.0</v>
      </c>
      <c r="CJ6" s="20">
        <f t="shared" ref="CJ6:CL6" si="282">CI6</f>
        <v>0</v>
      </c>
      <c r="CK6" s="20">
        <f t="shared" si="282"/>
        <v>0</v>
      </c>
      <c r="CL6" s="21">
        <f t="shared" si="282"/>
        <v>0</v>
      </c>
      <c r="CM6" s="19">
        <v>0.0</v>
      </c>
      <c r="CN6" s="20">
        <f t="shared" ref="CN6:CP6" si="283">CM6</f>
        <v>0</v>
      </c>
      <c r="CO6" s="20">
        <f t="shared" si="283"/>
        <v>0</v>
      </c>
      <c r="CP6" s="21">
        <f t="shared" si="283"/>
        <v>0</v>
      </c>
      <c r="CQ6" s="25">
        <v>-25000.0</v>
      </c>
      <c r="CR6" s="26">
        <v>-40000.0</v>
      </c>
      <c r="CS6" s="26">
        <f t="shared" ref="CS6:CT6" si="284">CR6</f>
        <v>-40000</v>
      </c>
      <c r="CT6" s="27">
        <f t="shared" si="284"/>
        <v>-40000</v>
      </c>
      <c r="CU6" s="25">
        <v>-45338.4</v>
      </c>
      <c r="CV6" s="20">
        <v>0.0</v>
      </c>
      <c r="CW6" s="20">
        <f t="shared" ref="CW6:CX6" si="285">CV6</f>
        <v>0</v>
      </c>
      <c r="CX6" s="21">
        <f t="shared" si="285"/>
        <v>0</v>
      </c>
      <c r="CY6" s="25">
        <v>0.0</v>
      </c>
      <c r="CZ6" s="26">
        <v>0.0</v>
      </c>
      <c r="DA6" s="26">
        <f t="shared" ref="DA6:DB6" si="286">CZ6</f>
        <v>0</v>
      </c>
      <c r="DB6" s="27">
        <f t="shared" si="286"/>
        <v>0</v>
      </c>
      <c r="DC6" s="19">
        <v>0.0</v>
      </c>
      <c r="DD6" s="20">
        <f t="shared" ref="DD6:DF6" si="287">DC6</f>
        <v>0</v>
      </c>
      <c r="DE6" s="20">
        <f t="shared" si="287"/>
        <v>0</v>
      </c>
      <c r="DF6" s="21">
        <f t="shared" si="287"/>
        <v>0</v>
      </c>
      <c r="DG6" s="19">
        <v>0.0</v>
      </c>
      <c r="DH6" s="20">
        <f t="shared" ref="DH6:DJ6" si="288">DG6</f>
        <v>0</v>
      </c>
      <c r="DI6" s="20">
        <f t="shared" si="288"/>
        <v>0</v>
      </c>
      <c r="DJ6" s="21">
        <f t="shared" si="288"/>
        <v>0</v>
      </c>
      <c r="DK6" s="19">
        <v>0.0</v>
      </c>
      <c r="DL6" s="20">
        <f t="shared" ref="DL6:DN6" si="289">DK6</f>
        <v>0</v>
      </c>
      <c r="DM6" s="20">
        <f t="shared" si="289"/>
        <v>0</v>
      </c>
      <c r="DN6" s="21">
        <f t="shared" si="289"/>
        <v>0</v>
      </c>
      <c r="DO6" s="19">
        <v>0.0</v>
      </c>
      <c r="DP6" s="20">
        <f t="shared" ref="DP6:DR6" si="290">DO6</f>
        <v>0</v>
      </c>
      <c r="DQ6" s="20">
        <f t="shared" si="290"/>
        <v>0</v>
      </c>
      <c r="DR6" s="21">
        <f t="shared" si="290"/>
        <v>0</v>
      </c>
      <c r="DS6" s="19">
        <v>0.0</v>
      </c>
      <c r="DT6" s="20">
        <f t="shared" ref="DT6:DV6" si="291">DS6</f>
        <v>0</v>
      </c>
      <c r="DU6" s="20">
        <f t="shared" si="291"/>
        <v>0</v>
      </c>
      <c r="DV6" s="21">
        <f t="shared" si="291"/>
        <v>0</v>
      </c>
      <c r="DW6" s="25">
        <v>-12469.8</v>
      </c>
      <c r="DX6" s="20">
        <v>0.0</v>
      </c>
      <c r="DY6" s="20">
        <f t="shared" ref="DY6:DZ6" si="292">DX6</f>
        <v>0</v>
      </c>
      <c r="DZ6" s="21">
        <f t="shared" si="292"/>
        <v>0</v>
      </c>
      <c r="EA6" s="25">
        <v>-96318.0</v>
      </c>
      <c r="EB6" s="20">
        <v>0.0</v>
      </c>
      <c r="EC6" s="20">
        <f t="shared" ref="EC6:ED6" si="293">EB6</f>
        <v>0</v>
      </c>
      <c r="ED6" s="21">
        <f t="shared" si="293"/>
        <v>0</v>
      </c>
      <c r="EE6" s="19">
        <v>0.0</v>
      </c>
      <c r="EF6" s="20">
        <f t="shared" ref="EF6:EH6" si="294">EE6</f>
        <v>0</v>
      </c>
      <c r="EG6" s="20">
        <f t="shared" si="294"/>
        <v>0</v>
      </c>
      <c r="EH6" s="21">
        <f t="shared" si="294"/>
        <v>0</v>
      </c>
      <c r="EI6" s="19">
        <v>0.0</v>
      </c>
      <c r="EJ6" s="27">
        <f t="shared" ref="EJ6:EK6" si="295">EI6</f>
        <v>0</v>
      </c>
      <c r="EK6" s="27">
        <f t="shared" si="295"/>
        <v>0</v>
      </c>
      <c r="EL6" s="27">
        <f t="shared" si="296"/>
        <v>0</v>
      </c>
      <c r="EM6" s="19">
        <v>0.0</v>
      </c>
      <c r="EN6" s="20">
        <f t="shared" ref="EN6:EP6" si="297">EM6</f>
        <v>0</v>
      </c>
      <c r="EO6" s="20">
        <f t="shared" si="297"/>
        <v>0</v>
      </c>
      <c r="EP6" s="21">
        <f t="shared" si="297"/>
        <v>0</v>
      </c>
      <c r="EQ6" s="19">
        <v>0.0</v>
      </c>
      <c r="ER6" s="20">
        <f t="shared" ref="ER6:ET6" si="298">EQ6</f>
        <v>0</v>
      </c>
      <c r="ES6" s="20">
        <f t="shared" si="298"/>
        <v>0</v>
      </c>
      <c r="ET6" s="21">
        <f t="shared" si="298"/>
        <v>0</v>
      </c>
      <c r="EU6" s="19">
        <v>0.0</v>
      </c>
      <c r="EV6" s="20">
        <f t="shared" ref="EV6:EX6" si="299">EU6</f>
        <v>0</v>
      </c>
      <c r="EW6" s="20">
        <f t="shared" si="299"/>
        <v>0</v>
      </c>
      <c r="EX6" s="21">
        <f t="shared" si="299"/>
        <v>0</v>
      </c>
      <c r="EY6" s="19">
        <v>0.0</v>
      </c>
      <c r="EZ6" s="26">
        <v>0.0</v>
      </c>
      <c r="FA6" s="26">
        <f t="shared" ref="FA6:FB6" si="300">EZ6</f>
        <v>0</v>
      </c>
      <c r="FB6" s="27">
        <f t="shared" si="300"/>
        <v>0</v>
      </c>
      <c r="FC6" s="19">
        <v>0.0</v>
      </c>
      <c r="FD6" s="26">
        <v>0.0</v>
      </c>
      <c r="FE6" s="26">
        <f t="shared" ref="FE6:FF6" si="301">FD6</f>
        <v>0</v>
      </c>
      <c r="FF6" s="27">
        <f t="shared" si="301"/>
        <v>0</v>
      </c>
      <c r="FG6" s="19">
        <v>0.0</v>
      </c>
      <c r="FH6" s="26">
        <v>0.0</v>
      </c>
      <c r="FI6" s="26">
        <f t="shared" ref="FI6:FJ6" si="302">FH6</f>
        <v>0</v>
      </c>
      <c r="FJ6" s="27">
        <f t="shared" si="302"/>
        <v>0</v>
      </c>
      <c r="FK6" s="19">
        <v>0.0</v>
      </c>
      <c r="FL6" s="26">
        <v>0.0</v>
      </c>
      <c r="FM6" s="26">
        <f t="shared" ref="FM6:FN6" si="303">FL6</f>
        <v>0</v>
      </c>
      <c r="FN6" s="27">
        <f t="shared" si="303"/>
        <v>0</v>
      </c>
      <c r="FO6" s="19">
        <v>0.0</v>
      </c>
      <c r="FP6" s="26">
        <v>0.0</v>
      </c>
      <c r="FQ6" s="26">
        <f t="shared" ref="FQ6:FR6" si="304">FP6</f>
        <v>0</v>
      </c>
      <c r="FR6" s="27">
        <f t="shared" si="304"/>
        <v>0</v>
      </c>
      <c r="FS6" s="19">
        <v>0.0</v>
      </c>
      <c r="FT6" s="26">
        <v>0.0</v>
      </c>
      <c r="FU6" s="26">
        <v>0.0</v>
      </c>
      <c r="FV6" s="27">
        <f t="shared" ref="FV6:FV7" si="331">FU6</f>
        <v>0</v>
      </c>
      <c r="FW6" s="19">
        <v>0.0</v>
      </c>
      <c r="FX6" s="26">
        <v>0.0</v>
      </c>
      <c r="FY6" s="26">
        <f t="shared" ref="FY6:FZ6" si="305">FX6</f>
        <v>0</v>
      </c>
      <c r="FZ6" s="27">
        <f t="shared" si="305"/>
        <v>0</v>
      </c>
      <c r="GA6" s="19">
        <v>0.0</v>
      </c>
      <c r="GB6" s="20">
        <f t="shared" ref="GB6:GD6" si="306">GA6</f>
        <v>0</v>
      </c>
      <c r="GC6" s="20">
        <f t="shared" si="306"/>
        <v>0</v>
      </c>
      <c r="GD6" s="21">
        <f t="shared" si="306"/>
        <v>0</v>
      </c>
      <c r="GE6" s="19">
        <v>0.0</v>
      </c>
      <c r="GF6" s="26">
        <v>0.0</v>
      </c>
      <c r="GG6" s="26">
        <f t="shared" ref="GG6:GH6" si="307">GF6</f>
        <v>0</v>
      </c>
      <c r="GH6" s="27">
        <f t="shared" si="307"/>
        <v>0</v>
      </c>
      <c r="GI6" s="19">
        <v>0.0</v>
      </c>
      <c r="GJ6" s="26">
        <v>0.0</v>
      </c>
      <c r="GK6" s="26">
        <f t="shared" ref="GK6:GL6" si="308">GJ6</f>
        <v>0</v>
      </c>
      <c r="GL6" s="26">
        <f t="shared" si="308"/>
        <v>0</v>
      </c>
      <c r="GM6" s="22">
        <v>0.0</v>
      </c>
      <c r="GN6" s="20">
        <f t="shared" ref="GN6:GP6" si="309">GM6</f>
        <v>0</v>
      </c>
      <c r="GO6" s="20">
        <f t="shared" si="309"/>
        <v>0</v>
      </c>
      <c r="GP6" s="21">
        <f t="shared" si="309"/>
        <v>0</v>
      </c>
      <c r="GQ6" s="19">
        <v>0.0</v>
      </c>
      <c r="GR6" s="26">
        <v>0.0</v>
      </c>
      <c r="GS6" s="26">
        <f t="shared" ref="GS6:GT6" si="310">GR6</f>
        <v>0</v>
      </c>
      <c r="GT6" s="27">
        <f t="shared" si="310"/>
        <v>0</v>
      </c>
      <c r="GU6" s="19">
        <v>0.0</v>
      </c>
      <c r="GV6" s="20">
        <f t="shared" ref="GV6:GX6" si="311">GU6</f>
        <v>0</v>
      </c>
      <c r="GW6" s="20">
        <f t="shared" si="311"/>
        <v>0</v>
      </c>
      <c r="GX6" s="21">
        <f t="shared" si="311"/>
        <v>0</v>
      </c>
      <c r="GY6" s="19">
        <v>0.0</v>
      </c>
      <c r="GZ6" s="20">
        <f t="shared" ref="GZ6:HB6" si="312">GY6</f>
        <v>0</v>
      </c>
      <c r="HA6" s="20">
        <f t="shared" si="312"/>
        <v>0</v>
      </c>
      <c r="HB6" s="21">
        <f t="shared" si="312"/>
        <v>0</v>
      </c>
      <c r="HC6" s="19">
        <v>0.0</v>
      </c>
      <c r="HD6" s="26">
        <v>0.0</v>
      </c>
      <c r="HE6" s="26">
        <v>0.0</v>
      </c>
      <c r="HF6" s="27">
        <f t="shared" ref="HF6:HF8" si="332">HE6</f>
        <v>0</v>
      </c>
      <c r="HG6" s="19">
        <v>0.0</v>
      </c>
      <c r="HH6" s="26">
        <v>0.0</v>
      </c>
      <c r="HI6" s="26">
        <f t="shared" ref="HI6:HJ6" si="313">HH6</f>
        <v>0</v>
      </c>
      <c r="HJ6" s="27">
        <f t="shared" si="313"/>
        <v>0</v>
      </c>
      <c r="HK6" s="19">
        <v>0.0</v>
      </c>
      <c r="HL6" s="26">
        <v>0.0</v>
      </c>
      <c r="HM6" s="26">
        <f t="shared" ref="HM6:HN6" si="314">HL6</f>
        <v>0</v>
      </c>
      <c r="HN6" s="27">
        <f t="shared" si="314"/>
        <v>0</v>
      </c>
      <c r="HO6" s="19">
        <v>0.0</v>
      </c>
      <c r="HP6" s="26">
        <v>0.0</v>
      </c>
      <c r="HQ6" s="26">
        <f t="shared" ref="HQ6:HR6" si="315">HP6</f>
        <v>0</v>
      </c>
      <c r="HR6" s="27">
        <f t="shared" si="315"/>
        <v>0</v>
      </c>
      <c r="HS6" s="19">
        <v>0.0</v>
      </c>
      <c r="HT6" s="26">
        <v>0.0</v>
      </c>
      <c r="HU6" s="26">
        <f t="shared" ref="HU6:HV6" si="316">HT6</f>
        <v>0</v>
      </c>
      <c r="HV6" s="27">
        <f t="shared" si="316"/>
        <v>0</v>
      </c>
      <c r="HW6" s="19">
        <v>0.0</v>
      </c>
      <c r="HX6" s="26">
        <v>0.0</v>
      </c>
      <c r="HY6" s="26">
        <f t="shared" ref="HY6:HZ6" si="317">HX6</f>
        <v>0</v>
      </c>
      <c r="HZ6" s="27">
        <f t="shared" si="317"/>
        <v>0</v>
      </c>
      <c r="IA6" s="19">
        <v>0.0</v>
      </c>
      <c r="IB6" s="26">
        <v>0.0</v>
      </c>
      <c r="IC6" s="26">
        <f t="shared" ref="IC6:ID6" si="318">IB6</f>
        <v>0</v>
      </c>
      <c r="ID6" s="27">
        <f t="shared" si="318"/>
        <v>0</v>
      </c>
      <c r="IE6" s="19">
        <v>0.0</v>
      </c>
      <c r="IF6" s="26">
        <v>0.0</v>
      </c>
      <c r="IG6" s="26">
        <f t="shared" ref="IG6:IH6" si="319">IF6</f>
        <v>0</v>
      </c>
      <c r="IH6" s="27">
        <f t="shared" si="319"/>
        <v>0</v>
      </c>
      <c r="II6" s="19">
        <v>0.0</v>
      </c>
      <c r="IJ6" s="26">
        <v>0.0</v>
      </c>
      <c r="IK6" s="26">
        <f t="shared" ref="IK6:IL6" si="320">IJ6</f>
        <v>0</v>
      </c>
      <c r="IL6" s="27">
        <f t="shared" si="320"/>
        <v>0</v>
      </c>
      <c r="IM6" s="19">
        <v>0.0</v>
      </c>
      <c r="IN6" s="26">
        <v>0.0</v>
      </c>
      <c r="IO6" s="26">
        <f t="shared" ref="IO6:IP6" si="321">IN6</f>
        <v>0</v>
      </c>
      <c r="IP6" s="27">
        <f t="shared" si="321"/>
        <v>0</v>
      </c>
      <c r="IQ6" s="19">
        <v>0.0</v>
      </c>
      <c r="IR6" s="26">
        <v>0.0</v>
      </c>
      <c r="IS6" s="26">
        <f t="shared" ref="IS6:IT6" si="322">IR6</f>
        <v>0</v>
      </c>
      <c r="IT6" s="27">
        <f t="shared" si="322"/>
        <v>0</v>
      </c>
      <c r="IU6" s="19">
        <v>0.0</v>
      </c>
      <c r="IV6" s="26">
        <v>0.0</v>
      </c>
      <c r="IW6" s="26">
        <f t="shared" ref="IW6:IX6" si="323">IV6</f>
        <v>0</v>
      </c>
      <c r="IX6" s="27">
        <f t="shared" si="323"/>
        <v>0</v>
      </c>
      <c r="IY6" s="19">
        <v>0.0</v>
      </c>
      <c r="IZ6" s="26">
        <v>0.0</v>
      </c>
      <c r="JA6" s="26">
        <f t="shared" ref="JA6:JB6" si="324">IZ6</f>
        <v>0</v>
      </c>
      <c r="JB6" s="27">
        <f t="shared" si="324"/>
        <v>0</v>
      </c>
      <c r="JC6" s="19">
        <v>0.0</v>
      </c>
      <c r="JD6" s="26">
        <v>0.0</v>
      </c>
      <c r="JE6" s="26">
        <f t="shared" ref="JE6:JF6" si="325">JD6</f>
        <v>0</v>
      </c>
      <c r="JF6" s="26">
        <f t="shared" si="325"/>
        <v>0</v>
      </c>
      <c r="JG6" s="19">
        <v>0.0</v>
      </c>
      <c r="JH6" s="26">
        <v>0.0</v>
      </c>
      <c r="JI6" s="26">
        <v>0.0</v>
      </c>
      <c r="JJ6" s="27">
        <f t="shared" ref="JJ6:JJ7" si="333">JI6</f>
        <v>0</v>
      </c>
      <c r="JK6" s="19">
        <v>0.0</v>
      </c>
      <c r="JL6" s="26">
        <v>0.0</v>
      </c>
      <c r="JM6" s="26">
        <f t="shared" ref="JM6:JN6" si="326">JL6</f>
        <v>0</v>
      </c>
      <c r="JN6" s="27">
        <f t="shared" si="326"/>
        <v>0</v>
      </c>
      <c r="JO6" s="19">
        <v>0.0</v>
      </c>
      <c r="JP6" s="20">
        <f t="shared" ref="JP6:JR6" si="327">JO6</f>
        <v>0</v>
      </c>
      <c r="JQ6" s="20">
        <f t="shared" si="327"/>
        <v>0</v>
      </c>
      <c r="JR6" s="21">
        <f t="shared" si="327"/>
        <v>0</v>
      </c>
      <c r="JS6" s="19">
        <v>0.0</v>
      </c>
      <c r="JT6" s="20">
        <f t="shared" ref="JT6:JV6" si="328">JS6</f>
        <v>0</v>
      </c>
      <c r="JU6" s="20">
        <f t="shared" si="328"/>
        <v>0</v>
      </c>
      <c r="JV6" s="21">
        <f t="shared" si="328"/>
        <v>0</v>
      </c>
      <c r="JW6" s="19">
        <v>0.0</v>
      </c>
      <c r="JX6" s="26">
        <v>0.0</v>
      </c>
      <c r="JY6" s="26">
        <f t="shared" ref="JY6:JZ6" si="329">JX6</f>
        <v>0</v>
      </c>
      <c r="JZ6" s="27">
        <f t="shared" si="329"/>
        <v>0</v>
      </c>
    </row>
    <row r="7" ht="15.75" customHeight="1">
      <c r="A7" s="24" t="s">
        <v>84</v>
      </c>
      <c r="B7" s="18"/>
      <c r="C7" s="19">
        <v>0.0</v>
      </c>
      <c r="D7" s="20">
        <v>0.0</v>
      </c>
      <c r="E7" s="20">
        <v>0.0</v>
      </c>
      <c r="F7" s="21">
        <f t="shared" ref="F7:F8" si="334">E7</f>
        <v>0</v>
      </c>
      <c r="G7" s="19">
        <v>0.0</v>
      </c>
      <c r="H7" s="20">
        <v>0.0</v>
      </c>
      <c r="I7" s="20">
        <v>0.0</v>
      </c>
      <c r="J7" s="21">
        <f t="shared" ref="J7:J8" si="335">I7</f>
        <v>0</v>
      </c>
      <c r="K7" s="19">
        <v>0.0</v>
      </c>
      <c r="L7" s="20">
        <v>0.0</v>
      </c>
      <c r="M7" s="20">
        <v>0.0</v>
      </c>
      <c r="N7" s="21">
        <f t="shared" ref="N7:N8" si="336">M7</f>
        <v>0</v>
      </c>
      <c r="O7" s="19">
        <v>0.0</v>
      </c>
      <c r="P7" s="20">
        <v>0.0</v>
      </c>
      <c r="Q7" s="20">
        <v>0.0</v>
      </c>
      <c r="R7" s="21">
        <f t="shared" ref="R7:R8" si="337">Q7</f>
        <v>0</v>
      </c>
      <c r="S7" s="19">
        <v>0.0</v>
      </c>
      <c r="T7" s="20">
        <v>0.0</v>
      </c>
      <c r="U7" s="20">
        <v>0.0</v>
      </c>
      <c r="V7" s="21">
        <f t="shared" ref="V7:V8" si="338">U7</f>
        <v>0</v>
      </c>
      <c r="W7" s="25">
        <v>0.0</v>
      </c>
      <c r="X7" s="20">
        <v>0.0</v>
      </c>
      <c r="Y7" s="20">
        <v>0.0</v>
      </c>
      <c r="Z7" s="21">
        <f t="shared" ref="Z7:Z8" si="339">Y7</f>
        <v>0</v>
      </c>
      <c r="AA7" s="19">
        <v>0.0</v>
      </c>
      <c r="AB7" s="20">
        <v>0.0</v>
      </c>
      <c r="AC7" s="20">
        <v>0.0</v>
      </c>
      <c r="AD7" s="21">
        <f t="shared" ref="AD7:AD8" si="340">AC7</f>
        <v>0</v>
      </c>
      <c r="AE7" s="19">
        <v>0.0</v>
      </c>
      <c r="AF7" s="20">
        <v>0.0</v>
      </c>
      <c r="AG7" s="20">
        <v>0.0</v>
      </c>
      <c r="AH7" s="21">
        <f t="shared" ref="AH7:AH8" si="341">AG7</f>
        <v>0</v>
      </c>
      <c r="AI7" s="19">
        <v>0.0</v>
      </c>
      <c r="AJ7" s="20">
        <v>0.0</v>
      </c>
      <c r="AK7" s="20">
        <v>0.0</v>
      </c>
      <c r="AL7" s="21">
        <f>AK7</f>
        <v>0</v>
      </c>
      <c r="AM7" s="19">
        <v>0.0</v>
      </c>
      <c r="AN7" s="20">
        <v>0.0</v>
      </c>
      <c r="AO7" s="20">
        <v>0.0</v>
      </c>
      <c r="AP7" s="21">
        <f t="shared" ref="AP7:AP8" si="343">AO7</f>
        <v>0</v>
      </c>
      <c r="AQ7" s="19">
        <v>0.0</v>
      </c>
      <c r="AR7" s="26">
        <v>0.0</v>
      </c>
      <c r="AS7" s="26">
        <v>0.0</v>
      </c>
      <c r="AT7" s="27">
        <f>AS7</f>
        <v>0</v>
      </c>
      <c r="AU7" s="25">
        <v>0.0</v>
      </c>
      <c r="AV7" s="20">
        <v>0.0</v>
      </c>
      <c r="AW7" s="20">
        <v>0.0</v>
      </c>
      <c r="AX7" s="21">
        <f t="shared" ref="AX7:AX8" si="345">AW7</f>
        <v>0</v>
      </c>
      <c r="AY7" s="19">
        <v>0.0</v>
      </c>
      <c r="AZ7" s="26">
        <v>0.0</v>
      </c>
      <c r="BA7" s="26">
        <v>0.0</v>
      </c>
      <c r="BB7" s="27">
        <f>BA7</f>
        <v>0</v>
      </c>
      <c r="BC7" s="25">
        <v>0.0</v>
      </c>
      <c r="BD7" s="26">
        <v>0.0</v>
      </c>
      <c r="BE7" s="26">
        <v>0.0</v>
      </c>
      <c r="BF7" s="27">
        <f t="shared" ref="BF7:BF8" si="347">BE7</f>
        <v>0</v>
      </c>
      <c r="BG7" s="19">
        <v>0.0</v>
      </c>
      <c r="BH7" s="20">
        <v>0.0</v>
      </c>
      <c r="BI7" s="20">
        <v>0.0</v>
      </c>
      <c r="BJ7" s="21">
        <f>BI7</f>
        <v>0</v>
      </c>
      <c r="BK7" s="19">
        <v>0.0</v>
      </c>
      <c r="BL7" s="20">
        <v>0.0</v>
      </c>
      <c r="BM7" s="20">
        <v>0.0</v>
      </c>
      <c r="BN7" s="21">
        <f t="shared" ref="BN7:BN8" si="348">BM7</f>
        <v>0</v>
      </c>
      <c r="BO7" s="19">
        <v>0.0</v>
      </c>
      <c r="BP7" s="20">
        <v>0.0</v>
      </c>
      <c r="BQ7" s="20">
        <v>0.0</v>
      </c>
      <c r="BR7" s="21">
        <f t="shared" ref="BR7:BR8" si="349">BQ7</f>
        <v>0</v>
      </c>
      <c r="BS7" s="19">
        <v>0.0</v>
      </c>
      <c r="BT7" s="20">
        <v>0.0</v>
      </c>
      <c r="BU7" s="20">
        <v>0.0</v>
      </c>
      <c r="BV7" s="21">
        <f t="shared" ref="BV7:BV8" si="350">BU7</f>
        <v>0</v>
      </c>
      <c r="BW7" s="19">
        <v>0.0</v>
      </c>
      <c r="BX7" s="20">
        <v>0.0</v>
      </c>
      <c r="BY7" s="20">
        <v>0.0</v>
      </c>
      <c r="BZ7" s="21">
        <f t="shared" ref="BZ7:BZ8" si="351">BY7</f>
        <v>0</v>
      </c>
      <c r="CA7" s="19">
        <v>0.0</v>
      </c>
      <c r="CB7" s="20">
        <v>0.0</v>
      </c>
      <c r="CC7" s="20">
        <v>0.0</v>
      </c>
      <c r="CD7" s="21">
        <f t="shared" ref="CD7:CD8" si="352">CC7</f>
        <v>0</v>
      </c>
      <c r="CE7" s="25">
        <v>0.0</v>
      </c>
      <c r="CF7" s="26">
        <v>0.0</v>
      </c>
      <c r="CG7" s="26">
        <v>0.0</v>
      </c>
      <c r="CH7" s="27">
        <f t="shared" ref="CH7:CH8" si="353">CG7</f>
        <v>0</v>
      </c>
      <c r="CI7" s="19">
        <v>0.0</v>
      </c>
      <c r="CJ7" s="20">
        <v>0.0</v>
      </c>
      <c r="CK7" s="20">
        <v>0.0</v>
      </c>
      <c r="CL7" s="21">
        <f t="shared" ref="CL7:CL8" si="354">CK7</f>
        <v>0</v>
      </c>
      <c r="CM7" s="19">
        <v>0.0</v>
      </c>
      <c r="CN7" s="20">
        <v>0.0</v>
      </c>
      <c r="CO7" s="20">
        <v>0.0</v>
      </c>
      <c r="CP7" s="21">
        <f t="shared" ref="CP7:CP8" si="355">CO7</f>
        <v>0</v>
      </c>
      <c r="CQ7" s="25">
        <v>0.0</v>
      </c>
      <c r="CR7" s="26">
        <v>0.0</v>
      </c>
      <c r="CS7" s="26">
        <v>0.0</v>
      </c>
      <c r="CT7" s="27">
        <f t="shared" ref="CT7:CT8" si="356">CS7</f>
        <v>0</v>
      </c>
      <c r="CU7" s="25">
        <v>0.0</v>
      </c>
      <c r="CV7" s="20">
        <v>0.0</v>
      </c>
      <c r="CW7" s="20">
        <v>0.0</v>
      </c>
      <c r="CX7" s="21">
        <f t="shared" ref="CX7:CX8" si="357">CW7</f>
        <v>0</v>
      </c>
      <c r="CY7" s="25">
        <v>-175000.0</v>
      </c>
      <c r="CZ7" s="26">
        <v>-175000.0</v>
      </c>
      <c r="DA7" s="26">
        <v>-175000.0</v>
      </c>
      <c r="DB7" s="27">
        <f t="shared" ref="DB7:DB8" si="358">DA7</f>
        <v>-175000</v>
      </c>
      <c r="DC7" s="19">
        <v>0.0</v>
      </c>
      <c r="DD7" s="20">
        <v>0.0</v>
      </c>
      <c r="DE7" s="20">
        <v>0.0</v>
      </c>
      <c r="DF7" s="21">
        <f t="shared" ref="DF7:DF8" si="359">DE7</f>
        <v>0</v>
      </c>
      <c r="DG7" s="19">
        <v>0.0</v>
      </c>
      <c r="DH7" s="20">
        <v>0.0</v>
      </c>
      <c r="DI7" s="20">
        <v>0.0</v>
      </c>
      <c r="DJ7" s="21">
        <f t="shared" ref="DJ7:DJ8" si="360">DI7</f>
        <v>0</v>
      </c>
      <c r="DK7" s="19">
        <v>0.0</v>
      </c>
      <c r="DL7" s="20">
        <v>0.0</v>
      </c>
      <c r="DM7" s="20">
        <v>0.0</v>
      </c>
      <c r="DN7" s="21">
        <f t="shared" ref="DN7:DN8" si="361">DM7</f>
        <v>0</v>
      </c>
      <c r="DO7" s="19">
        <v>0.0</v>
      </c>
      <c r="DP7" s="20">
        <v>0.0</v>
      </c>
      <c r="DQ7" s="20">
        <v>0.0</v>
      </c>
      <c r="DR7" s="21">
        <f t="shared" ref="DR7:DR8" si="362">DQ7</f>
        <v>0</v>
      </c>
      <c r="DS7" s="19">
        <v>0.0</v>
      </c>
      <c r="DT7" s="20">
        <v>0.0</v>
      </c>
      <c r="DU7" s="20">
        <v>0.0</v>
      </c>
      <c r="DV7" s="21">
        <f t="shared" ref="DV7:DV8" si="363">DU7</f>
        <v>0</v>
      </c>
      <c r="DW7" s="25">
        <v>0.0</v>
      </c>
      <c r="DX7" s="20">
        <v>0.0</v>
      </c>
      <c r="DY7" s="20">
        <v>0.0</v>
      </c>
      <c r="DZ7" s="21">
        <f t="shared" ref="DZ7:DZ8" si="364">DY7</f>
        <v>0</v>
      </c>
      <c r="EA7" s="25">
        <v>0.0</v>
      </c>
      <c r="EB7" s="20">
        <v>0.0</v>
      </c>
      <c r="EC7" s="20">
        <v>0.0</v>
      </c>
      <c r="ED7" s="21">
        <f t="shared" ref="ED7:ED8" si="365">EC7</f>
        <v>0</v>
      </c>
      <c r="EE7" s="19">
        <v>0.0</v>
      </c>
      <c r="EF7" s="20">
        <v>0.0</v>
      </c>
      <c r="EG7" s="20">
        <v>0.0</v>
      </c>
      <c r="EH7" s="21">
        <f t="shared" ref="EH7:EH8" si="366">EG7</f>
        <v>0</v>
      </c>
      <c r="EI7" s="19">
        <v>0.0</v>
      </c>
      <c r="EJ7" s="27">
        <f t="shared" ref="EJ7:EK7" si="330">EI7</f>
        <v>0</v>
      </c>
      <c r="EK7" s="27">
        <f t="shared" si="330"/>
        <v>0</v>
      </c>
      <c r="EL7" s="27">
        <f t="shared" si="296"/>
        <v>0</v>
      </c>
      <c r="EM7" s="19">
        <v>0.0</v>
      </c>
      <c r="EN7" s="20">
        <v>0.0</v>
      </c>
      <c r="EO7" s="20">
        <v>0.0</v>
      </c>
      <c r="EP7" s="21">
        <f t="shared" ref="EP7:EP8" si="368">EO7</f>
        <v>0</v>
      </c>
      <c r="EQ7" s="19">
        <v>0.0</v>
      </c>
      <c r="ER7" s="20">
        <v>0.0</v>
      </c>
      <c r="ES7" s="20">
        <v>0.0</v>
      </c>
      <c r="ET7" s="21">
        <f t="shared" ref="ET7:ET8" si="369">ES7</f>
        <v>0</v>
      </c>
      <c r="EU7" s="19">
        <v>0.0</v>
      </c>
      <c r="EV7" s="20">
        <v>0.0</v>
      </c>
      <c r="EW7" s="20">
        <v>0.0</v>
      </c>
      <c r="EX7" s="21">
        <f t="shared" ref="EX7:EX8" si="370">EW7</f>
        <v>0</v>
      </c>
      <c r="EY7" s="19">
        <v>0.0</v>
      </c>
      <c r="EZ7" s="26">
        <v>0.0</v>
      </c>
      <c r="FA7" s="26">
        <v>0.0</v>
      </c>
      <c r="FB7" s="27">
        <f t="shared" ref="FB7:FB8" si="371">FA7</f>
        <v>0</v>
      </c>
      <c r="FC7" s="19">
        <v>0.0</v>
      </c>
      <c r="FD7" s="26">
        <v>0.0</v>
      </c>
      <c r="FE7" s="26">
        <v>0.0</v>
      </c>
      <c r="FF7" s="27">
        <f>FE7</f>
        <v>0</v>
      </c>
      <c r="FG7" s="19">
        <v>0.0</v>
      </c>
      <c r="FH7" s="26">
        <v>0.0</v>
      </c>
      <c r="FI7" s="26">
        <v>0.0</v>
      </c>
      <c r="FJ7" s="27">
        <f>FI7</f>
        <v>0</v>
      </c>
      <c r="FK7" s="19">
        <v>0.0</v>
      </c>
      <c r="FL7" s="26">
        <v>0.0</v>
      </c>
      <c r="FM7" s="26">
        <v>0.0</v>
      </c>
      <c r="FN7" s="27">
        <f t="shared" ref="FN7:FN8" si="375">FM7</f>
        <v>0</v>
      </c>
      <c r="FO7" s="19">
        <v>0.0</v>
      </c>
      <c r="FP7" s="26">
        <v>0.0</v>
      </c>
      <c r="FQ7" s="26">
        <v>0.0</v>
      </c>
      <c r="FR7" s="27">
        <f t="shared" ref="FR7:FR8" si="377">FQ7</f>
        <v>0</v>
      </c>
      <c r="FS7" s="19">
        <v>0.0</v>
      </c>
      <c r="FT7" s="26">
        <v>0.0</v>
      </c>
      <c r="FU7" s="26">
        <v>0.0</v>
      </c>
      <c r="FV7" s="27">
        <f t="shared" si="331"/>
        <v>0</v>
      </c>
      <c r="FW7" s="19">
        <v>0.0</v>
      </c>
      <c r="FX7" s="26">
        <v>0.0</v>
      </c>
      <c r="FY7" s="26">
        <v>0.0</v>
      </c>
      <c r="FZ7" s="27">
        <f t="shared" ref="FZ7:FZ9" si="380">FY7</f>
        <v>0</v>
      </c>
      <c r="GA7" s="19">
        <v>0.0</v>
      </c>
      <c r="GB7" s="20">
        <v>0.0</v>
      </c>
      <c r="GC7" s="20">
        <v>0.0</v>
      </c>
      <c r="GD7" s="21">
        <f t="shared" ref="GD7:GD8" si="381">GC7</f>
        <v>0</v>
      </c>
      <c r="GE7" s="19">
        <v>0.0</v>
      </c>
      <c r="GF7" s="26">
        <v>0.0</v>
      </c>
      <c r="GG7" s="26">
        <v>0.0</v>
      </c>
      <c r="GH7" s="27">
        <f t="shared" ref="GH7:GH8" si="383">GG7</f>
        <v>0</v>
      </c>
      <c r="GI7" s="19">
        <v>0.0</v>
      </c>
      <c r="GJ7" s="26">
        <v>0.0</v>
      </c>
      <c r="GK7" s="26">
        <v>0.0</v>
      </c>
      <c r="GL7" s="26">
        <f t="shared" ref="GL7:GL8" si="385">GK7</f>
        <v>0</v>
      </c>
      <c r="GM7" s="22">
        <v>0.0</v>
      </c>
      <c r="GN7" s="20">
        <v>0.0</v>
      </c>
      <c r="GO7" s="20">
        <v>0.0</v>
      </c>
      <c r="GP7" s="21">
        <f t="shared" ref="GP7:GP8" si="386">GO7</f>
        <v>0</v>
      </c>
      <c r="GQ7" s="19">
        <v>0.0</v>
      </c>
      <c r="GR7" s="26">
        <v>0.0</v>
      </c>
      <c r="GS7" s="26">
        <v>0.0</v>
      </c>
      <c r="GT7" s="27">
        <f>GS7</f>
        <v>0</v>
      </c>
      <c r="GU7" s="19">
        <v>0.0</v>
      </c>
      <c r="GV7" s="20">
        <v>0.0</v>
      </c>
      <c r="GW7" s="20">
        <v>0.0</v>
      </c>
      <c r="GX7" s="21">
        <f>GW7</f>
        <v>0</v>
      </c>
      <c r="GY7" s="19">
        <v>0.0</v>
      </c>
      <c r="GZ7" s="20">
        <v>0.0</v>
      </c>
      <c r="HA7" s="20">
        <v>0.0</v>
      </c>
      <c r="HB7" s="21">
        <f t="shared" ref="HB7:HB8" si="388">HA7</f>
        <v>0</v>
      </c>
      <c r="HC7" s="19">
        <v>0.0</v>
      </c>
      <c r="HD7" s="26">
        <v>0.0</v>
      </c>
      <c r="HE7" s="26">
        <v>0.0</v>
      </c>
      <c r="HF7" s="27">
        <f t="shared" si="332"/>
        <v>0</v>
      </c>
      <c r="HG7" s="19">
        <v>0.0</v>
      </c>
      <c r="HH7" s="26">
        <v>0.0</v>
      </c>
      <c r="HI7" s="26">
        <v>0.0</v>
      </c>
      <c r="HJ7" s="27">
        <f t="shared" ref="HJ7:HJ8" si="391">HI7</f>
        <v>0</v>
      </c>
      <c r="HK7" s="19">
        <v>0.0</v>
      </c>
      <c r="HL7" s="26">
        <v>0.0</v>
      </c>
      <c r="HM7" s="26">
        <v>0.0</v>
      </c>
      <c r="HN7" s="27">
        <f t="shared" ref="HN7:HN8" si="393">HM7</f>
        <v>0</v>
      </c>
      <c r="HO7" s="19">
        <v>0.0</v>
      </c>
      <c r="HP7" s="26">
        <v>0.0</v>
      </c>
      <c r="HQ7" s="26">
        <v>0.0</v>
      </c>
      <c r="HR7" s="27">
        <f t="shared" ref="HR7:HR8" si="395">HQ7</f>
        <v>0</v>
      </c>
      <c r="HS7" s="19">
        <v>-150000.0</v>
      </c>
      <c r="HT7" s="26">
        <v>-150000.0</v>
      </c>
      <c r="HU7" s="26">
        <v>-150000.0</v>
      </c>
      <c r="HV7" s="27">
        <f>HU7</f>
        <v>-150000</v>
      </c>
      <c r="HW7" s="19">
        <v>0.0</v>
      </c>
      <c r="HX7" s="26">
        <v>0.0</v>
      </c>
      <c r="HY7" s="26">
        <v>0.0</v>
      </c>
      <c r="HZ7" s="27">
        <f>HY7</f>
        <v>0</v>
      </c>
      <c r="IA7" s="19">
        <v>0.0</v>
      </c>
      <c r="IB7" s="26">
        <v>0.0</v>
      </c>
      <c r="IC7" s="26">
        <v>0.0</v>
      </c>
      <c r="ID7" s="27">
        <f>IC7</f>
        <v>0</v>
      </c>
      <c r="IE7" s="19">
        <v>0.0</v>
      </c>
      <c r="IF7" s="26">
        <v>0.0</v>
      </c>
      <c r="IG7" s="26">
        <v>0.0</v>
      </c>
      <c r="IH7" s="27">
        <f>IG7</f>
        <v>0</v>
      </c>
      <c r="II7" s="19">
        <v>0.0</v>
      </c>
      <c r="IJ7" s="26">
        <v>0.0</v>
      </c>
      <c r="IK7" s="26">
        <v>0.0</v>
      </c>
      <c r="IL7" s="27">
        <f t="shared" ref="IL7:IL8" si="401">IK7</f>
        <v>0</v>
      </c>
      <c r="IM7" s="19">
        <v>0.0</v>
      </c>
      <c r="IN7" s="26">
        <v>0.0</v>
      </c>
      <c r="IO7" s="26">
        <v>0.0</v>
      </c>
      <c r="IP7" s="27">
        <f t="shared" ref="IP7:IP8" si="403">IO7</f>
        <v>0</v>
      </c>
      <c r="IQ7" s="19">
        <v>0.0</v>
      </c>
      <c r="IR7" s="26">
        <v>0.0</v>
      </c>
      <c r="IS7" s="26">
        <v>0.0</v>
      </c>
      <c r="IT7" s="27">
        <f t="shared" ref="IT7:IT8" si="405">IS7</f>
        <v>0</v>
      </c>
      <c r="IU7" s="19">
        <v>0.0</v>
      </c>
      <c r="IV7" s="26">
        <v>0.0</v>
      </c>
      <c r="IW7" s="26">
        <v>0.0</v>
      </c>
      <c r="IX7" s="27">
        <f>IW7</f>
        <v>0</v>
      </c>
      <c r="IY7" s="19">
        <v>0.0</v>
      </c>
      <c r="IZ7" s="26">
        <v>0.0</v>
      </c>
      <c r="JA7" s="26">
        <v>0.0</v>
      </c>
      <c r="JB7" s="27">
        <f t="shared" ref="JB7:JB8" si="407">JA7</f>
        <v>0</v>
      </c>
      <c r="JC7" s="19">
        <v>0.0</v>
      </c>
      <c r="JD7" s="26">
        <v>0.0</v>
      </c>
      <c r="JE7" s="26">
        <v>0.0</v>
      </c>
      <c r="JF7" s="26">
        <f>JE7</f>
        <v>0</v>
      </c>
      <c r="JG7" s="19">
        <v>-50000.0</v>
      </c>
      <c r="JH7" s="26">
        <v>-50000.0</v>
      </c>
      <c r="JI7" s="26">
        <v>-50000.0</v>
      </c>
      <c r="JJ7" s="27">
        <f t="shared" si="333"/>
        <v>-50000</v>
      </c>
      <c r="JK7" s="19">
        <v>0.0</v>
      </c>
      <c r="JL7" s="26">
        <v>0.0</v>
      </c>
      <c r="JM7" s="26">
        <v>0.0</v>
      </c>
      <c r="JN7" s="27">
        <f t="shared" ref="JN7:JN8" si="409">JM7</f>
        <v>0</v>
      </c>
      <c r="JO7" s="19">
        <v>0.0</v>
      </c>
      <c r="JP7" s="20">
        <v>0.0</v>
      </c>
      <c r="JQ7" s="20">
        <v>0.0</v>
      </c>
      <c r="JR7" s="21">
        <f t="shared" ref="JR7:JR8" si="410">JQ7</f>
        <v>0</v>
      </c>
      <c r="JS7" s="19">
        <v>0.0</v>
      </c>
      <c r="JT7" s="20">
        <v>0.0</v>
      </c>
      <c r="JU7" s="20">
        <v>0.0</v>
      </c>
      <c r="JV7" s="21">
        <f t="shared" ref="JV7:JV8" si="411">JU7</f>
        <v>0</v>
      </c>
      <c r="JW7" s="19">
        <v>0.0</v>
      </c>
      <c r="JX7" s="26">
        <v>0.0</v>
      </c>
      <c r="JY7" s="26">
        <v>0.0</v>
      </c>
      <c r="JZ7" s="27">
        <f t="shared" ref="JZ7:JZ8" si="413">JY7</f>
        <v>0</v>
      </c>
    </row>
    <row r="8" ht="15.75" customHeight="1">
      <c r="A8" s="24" t="s">
        <v>85</v>
      </c>
      <c r="B8" s="18"/>
      <c r="C8" s="19">
        <v>0.0</v>
      </c>
      <c r="D8" s="20">
        <v>0.0</v>
      </c>
      <c r="E8" s="20">
        <v>0.0</v>
      </c>
      <c r="F8" s="21">
        <f t="shared" si="334"/>
        <v>0</v>
      </c>
      <c r="G8" s="19">
        <v>0.0</v>
      </c>
      <c r="H8" s="20">
        <v>0.0</v>
      </c>
      <c r="I8" s="20">
        <v>0.0</v>
      </c>
      <c r="J8" s="21">
        <f t="shared" si="335"/>
        <v>0</v>
      </c>
      <c r="K8" s="19">
        <v>0.0</v>
      </c>
      <c r="L8" s="20">
        <v>0.0</v>
      </c>
      <c r="M8" s="20">
        <v>0.0</v>
      </c>
      <c r="N8" s="21">
        <f t="shared" si="336"/>
        <v>0</v>
      </c>
      <c r="O8" s="19">
        <v>0.0</v>
      </c>
      <c r="P8" s="20">
        <v>0.0</v>
      </c>
      <c r="Q8" s="20">
        <v>0.0</v>
      </c>
      <c r="R8" s="21">
        <f t="shared" si="337"/>
        <v>0</v>
      </c>
      <c r="S8" s="19">
        <v>0.0</v>
      </c>
      <c r="T8" s="20">
        <v>0.0</v>
      </c>
      <c r="U8" s="20">
        <v>0.0</v>
      </c>
      <c r="V8" s="21">
        <f t="shared" si="338"/>
        <v>0</v>
      </c>
      <c r="W8" s="25">
        <v>0.0</v>
      </c>
      <c r="X8" s="20">
        <v>0.0</v>
      </c>
      <c r="Y8" s="20">
        <v>0.0</v>
      </c>
      <c r="Z8" s="21">
        <f t="shared" si="339"/>
        <v>0</v>
      </c>
      <c r="AA8" s="19">
        <v>0.0</v>
      </c>
      <c r="AB8" s="20">
        <v>0.0</v>
      </c>
      <c r="AC8" s="20">
        <v>0.0</v>
      </c>
      <c r="AD8" s="21">
        <f t="shared" si="340"/>
        <v>0</v>
      </c>
      <c r="AE8" s="19">
        <v>0.0</v>
      </c>
      <c r="AF8" s="20">
        <v>0.0</v>
      </c>
      <c r="AG8" s="20">
        <v>0.0</v>
      </c>
      <c r="AH8" s="21">
        <f t="shared" si="341"/>
        <v>0</v>
      </c>
      <c r="AI8" s="19">
        <v>0.0</v>
      </c>
      <c r="AJ8" s="20">
        <v>0.0</v>
      </c>
      <c r="AK8" s="20">
        <f t="shared" ref="AK8:AL8" si="342">-AK17</f>
        <v>-1768.9</v>
      </c>
      <c r="AL8" s="21">
        <f t="shared" si="342"/>
        <v>-1053.9</v>
      </c>
      <c r="AM8" s="19">
        <v>0.0</v>
      </c>
      <c r="AN8" s="20">
        <v>0.0</v>
      </c>
      <c r="AO8" s="20">
        <v>0.0</v>
      </c>
      <c r="AP8" s="21">
        <f t="shared" si="343"/>
        <v>0</v>
      </c>
      <c r="AQ8" s="19">
        <v>0.0</v>
      </c>
      <c r="AR8" s="26">
        <f>-AR$17</f>
        <v>-5500</v>
      </c>
      <c r="AS8" s="26">
        <f t="shared" ref="AS8:AT8" si="344">AR8</f>
        <v>-5500</v>
      </c>
      <c r="AT8" s="27">
        <f t="shared" si="344"/>
        <v>-5500</v>
      </c>
      <c r="AU8" s="25">
        <v>0.0</v>
      </c>
      <c r="AV8" s="20">
        <v>0.0</v>
      </c>
      <c r="AW8" s="20">
        <v>0.0</v>
      </c>
      <c r="AX8" s="21">
        <f t="shared" si="345"/>
        <v>0</v>
      </c>
      <c r="AY8" s="19">
        <v>0.0</v>
      </c>
      <c r="AZ8" s="26">
        <f>-AZ$17</f>
        <v>-5355</v>
      </c>
      <c r="BA8" s="26">
        <f t="shared" ref="BA8:BB8" si="346">AZ8</f>
        <v>-5355</v>
      </c>
      <c r="BB8" s="27">
        <f t="shared" si="346"/>
        <v>-5355</v>
      </c>
      <c r="BC8" s="25">
        <v>-29600.0</v>
      </c>
      <c r="BD8" s="26">
        <v>0.0</v>
      </c>
      <c r="BE8" s="26">
        <v>0.0</v>
      </c>
      <c r="BF8" s="27">
        <f t="shared" si="347"/>
        <v>0</v>
      </c>
      <c r="BG8" s="19">
        <v>0.0</v>
      </c>
      <c r="BH8" s="20">
        <v>0.0</v>
      </c>
      <c r="BI8" s="20">
        <v>0.0</v>
      </c>
      <c r="BJ8" s="21">
        <v>-2000.0</v>
      </c>
      <c r="BK8" s="19">
        <v>0.0</v>
      </c>
      <c r="BL8" s="20">
        <v>0.0</v>
      </c>
      <c r="BM8" s="20">
        <v>0.0</v>
      </c>
      <c r="BN8" s="21">
        <f t="shared" si="348"/>
        <v>0</v>
      </c>
      <c r="BO8" s="19">
        <v>0.0</v>
      </c>
      <c r="BP8" s="20">
        <v>0.0</v>
      </c>
      <c r="BQ8" s="20">
        <v>0.0</v>
      </c>
      <c r="BR8" s="21">
        <f t="shared" si="349"/>
        <v>0</v>
      </c>
      <c r="BS8" s="19">
        <v>0.0</v>
      </c>
      <c r="BT8" s="20">
        <v>0.0</v>
      </c>
      <c r="BU8" s="20">
        <v>0.0</v>
      </c>
      <c r="BV8" s="21">
        <f t="shared" si="350"/>
        <v>0</v>
      </c>
      <c r="BW8" s="19">
        <v>0.0</v>
      </c>
      <c r="BX8" s="20">
        <v>0.0</v>
      </c>
      <c r="BY8" s="20">
        <v>0.0</v>
      </c>
      <c r="BZ8" s="21">
        <f t="shared" si="351"/>
        <v>0</v>
      </c>
      <c r="CA8" s="19">
        <v>0.0</v>
      </c>
      <c r="CB8" s="20">
        <v>0.0</v>
      </c>
      <c r="CC8" s="20">
        <v>0.0</v>
      </c>
      <c r="CD8" s="21">
        <f t="shared" si="352"/>
        <v>0</v>
      </c>
      <c r="CE8" s="25">
        <v>-17400.0</v>
      </c>
      <c r="CF8" s="26">
        <v>-17400.0</v>
      </c>
      <c r="CG8" s="26">
        <v>-17400.0</v>
      </c>
      <c r="CH8" s="27">
        <f t="shared" si="353"/>
        <v>-17400</v>
      </c>
      <c r="CI8" s="19">
        <v>0.0</v>
      </c>
      <c r="CJ8" s="20">
        <v>0.0</v>
      </c>
      <c r="CK8" s="20">
        <v>0.0</v>
      </c>
      <c r="CL8" s="21">
        <f t="shared" si="354"/>
        <v>0</v>
      </c>
      <c r="CM8" s="19">
        <v>0.0</v>
      </c>
      <c r="CN8" s="20">
        <v>0.0</v>
      </c>
      <c r="CO8" s="20">
        <v>0.0</v>
      </c>
      <c r="CP8" s="21">
        <f t="shared" si="355"/>
        <v>0</v>
      </c>
      <c r="CQ8" s="25">
        <v>0.0</v>
      </c>
      <c r="CR8" s="26">
        <v>0.0</v>
      </c>
      <c r="CS8" s="26">
        <v>0.0</v>
      </c>
      <c r="CT8" s="27">
        <f t="shared" si="356"/>
        <v>0</v>
      </c>
      <c r="CU8" s="25">
        <v>0.0</v>
      </c>
      <c r="CV8" s="20">
        <v>0.0</v>
      </c>
      <c r="CW8" s="20">
        <v>0.0</v>
      </c>
      <c r="CX8" s="21">
        <f t="shared" si="357"/>
        <v>0</v>
      </c>
      <c r="CY8" s="25">
        <v>-15700.0</v>
      </c>
      <c r="CZ8" s="26">
        <v>-15000.0</v>
      </c>
      <c r="DA8" s="26">
        <v>-15000.0</v>
      </c>
      <c r="DB8" s="27">
        <f t="shared" si="358"/>
        <v>-15000</v>
      </c>
      <c r="DC8" s="19">
        <v>0.0</v>
      </c>
      <c r="DD8" s="20">
        <v>0.0</v>
      </c>
      <c r="DE8" s="20">
        <v>0.0</v>
      </c>
      <c r="DF8" s="21">
        <f t="shared" si="359"/>
        <v>0</v>
      </c>
      <c r="DG8" s="19">
        <v>0.0</v>
      </c>
      <c r="DH8" s="20">
        <v>0.0</v>
      </c>
      <c r="DI8" s="20">
        <v>0.0</v>
      </c>
      <c r="DJ8" s="21">
        <f t="shared" si="360"/>
        <v>0</v>
      </c>
      <c r="DK8" s="19">
        <v>0.0</v>
      </c>
      <c r="DL8" s="20">
        <v>0.0</v>
      </c>
      <c r="DM8" s="20">
        <v>0.0</v>
      </c>
      <c r="DN8" s="21">
        <f t="shared" si="361"/>
        <v>0</v>
      </c>
      <c r="DO8" s="19">
        <v>0.0</v>
      </c>
      <c r="DP8" s="20">
        <v>0.0</v>
      </c>
      <c r="DQ8" s="20">
        <v>0.0</v>
      </c>
      <c r="DR8" s="21">
        <f t="shared" si="362"/>
        <v>0</v>
      </c>
      <c r="DS8" s="19">
        <v>0.0</v>
      </c>
      <c r="DT8" s="20">
        <v>0.0</v>
      </c>
      <c r="DU8" s="20">
        <v>0.0</v>
      </c>
      <c r="DV8" s="21">
        <f t="shared" si="363"/>
        <v>0</v>
      </c>
      <c r="DW8" s="25">
        <v>0.0</v>
      </c>
      <c r="DX8" s="20">
        <v>0.0</v>
      </c>
      <c r="DY8" s="20">
        <v>0.0</v>
      </c>
      <c r="DZ8" s="21">
        <f t="shared" si="364"/>
        <v>0</v>
      </c>
      <c r="EA8" s="25">
        <v>0.0</v>
      </c>
      <c r="EB8" s="20">
        <v>0.0</v>
      </c>
      <c r="EC8" s="20">
        <v>0.0</v>
      </c>
      <c r="ED8" s="21">
        <f t="shared" si="365"/>
        <v>0</v>
      </c>
      <c r="EE8" s="19">
        <v>0.0</v>
      </c>
      <c r="EF8" s="20">
        <v>0.0</v>
      </c>
      <c r="EG8" s="20">
        <v>0.0</v>
      </c>
      <c r="EH8" s="21">
        <f t="shared" si="366"/>
        <v>0</v>
      </c>
      <c r="EI8" s="19">
        <v>0.0</v>
      </c>
      <c r="EJ8" s="27">
        <f t="shared" ref="EJ8:EK8" si="367">EI8</f>
        <v>0</v>
      </c>
      <c r="EK8" s="27">
        <f t="shared" si="367"/>
        <v>0</v>
      </c>
      <c r="EL8" s="27">
        <f t="shared" si="296"/>
        <v>0</v>
      </c>
      <c r="EM8" s="19">
        <v>0.0</v>
      </c>
      <c r="EN8" s="20">
        <v>0.0</v>
      </c>
      <c r="EO8" s="20">
        <v>0.0</v>
      </c>
      <c r="EP8" s="21">
        <f t="shared" si="368"/>
        <v>0</v>
      </c>
      <c r="EQ8" s="19">
        <v>0.0</v>
      </c>
      <c r="ER8" s="20">
        <v>0.0</v>
      </c>
      <c r="ES8" s="20">
        <v>0.0</v>
      </c>
      <c r="ET8" s="21">
        <f t="shared" si="369"/>
        <v>0</v>
      </c>
      <c r="EU8" s="19">
        <v>0.0</v>
      </c>
      <c r="EV8" s="20">
        <v>0.0</v>
      </c>
      <c r="EW8" s="20">
        <f>-EW17</f>
        <v>-4840</v>
      </c>
      <c r="EX8" s="21">
        <f t="shared" si="370"/>
        <v>-4840</v>
      </c>
      <c r="EY8" s="19">
        <v>0.0</v>
      </c>
      <c r="EZ8" s="26">
        <f>-EZ$17</f>
        <v>-2110</v>
      </c>
      <c r="FA8" s="26">
        <f>-FA17</f>
        <v>-2410</v>
      </c>
      <c r="FB8" s="27">
        <f t="shared" si="371"/>
        <v>-2410</v>
      </c>
      <c r="FC8" s="19">
        <v>0.0</v>
      </c>
      <c r="FD8" s="26">
        <f>-FD$17</f>
        <v>-7000</v>
      </c>
      <c r="FE8" s="26">
        <f t="shared" ref="FE8:FF8" si="372">FD8</f>
        <v>-7000</v>
      </c>
      <c r="FF8" s="27">
        <f t="shared" si="372"/>
        <v>-7000</v>
      </c>
      <c r="FG8" s="19">
        <v>0.0</v>
      </c>
      <c r="FH8" s="26">
        <f>-FH$17</f>
        <v>-4330</v>
      </c>
      <c r="FI8" s="26">
        <f t="shared" ref="FI8:FJ8" si="373">FH8</f>
        <v>-4330</v>
      </c>
      <c r="FJ8" s="27">
        <f t="shared" si="373"/>
        <v>-4330</v>
      </c>
      <c r="FK8" s="19">
        <v>0.0</v>
      </c>
      <c r="FL8" s="26">
        <f t="shared" ref="FL8:FM8" si="374">-FL$17</f>
        <v>-1360</v>
      </c>
      <c r="FM8" s="26">
        <f t="shared" si="374"/>
        <v>-1360</v>
      </c>
      <c r="FN8" s="27">
        <f t="shared" si="375"/>
        <v>-1360</v>
      </c>
      <c r="FO8" s="19">
        <v>0.0</v>
      </c>
      <c r="FP8" s="26">
        <f t="shared" ref="FP8:FQ8" si="376">-FP$17</f>
        <v>-1080</v>
      </c>
      <c r="FQ8" s="26">
        <f t="shared" si="376"/>
        <v>-1125</v>
      </c>
      <c r="FR8" s="27">
        <f t="shared" si="377"/>
        <v>-1125</v>
      </c>
      <c r="FS8" s="19">
        <v>0.0</v>
      </c>
      <c r="FT8" s="26">
        <f t="shared" ref="FT8:FU8" si="378">-FT$17</f>
        <v>-3000</v>
      </c>
      <c r="FU8" s="26">
        <f t="shared" si="378"/>
        <v>-9000</v>
      </c>
      <c r="FV8" s="27">
        <f>-FV17</f>
        <v>-11480</v>
      </c>
      <c r="FW8" s="19">
        <v>0.0</v>
      </c>
      <c r="FX8" s="26">
        <f t="shared" ref="FX8:FY8" si="379">-FX$17</f>
        <v>-2500</v>
      </c>
      <c r="FY8" s="26">
        <f t="shared" si="379"/>
        <v>-2981</v>
      </c>
      <c r="FZ8" s="27">
        <f t="shared" si="380"/>
        <v>-2981</v>
      </c>
      <c r="GA8" s="19">
        <v>0.0</v>
      </c>
      <c r="GB8" s="20">
        <v>0.0</v>
      </c>
      <c r="GC8" s="20">
        <v>0.0</v>
      </c>
      <c r="GD8" s="21">
        <f t="shared" si="381"/>
        <v>0</v>
      </c>
      <c r="GE8" s="19">
        <v>0.0</v>
      </c>
      <c r="GF8" s="26">
        <f t="shared" ref="GF8:GG8" si="382">-GF$17</f>
        <v>-1175</v>
      </c>
      <c r="GG8" s="26">
        <f t="shared" si="382"/>
        <v>-1600</v>
      </c>
      <c r="GH8" s="27">
        <f t="shared" si="383"/>
        <v>-1600</v>
      </c>
      <c r="GI8" s="19">
        <v>0.0</v>
      </c>
      <c r="GJ8" s="26">
        <f t="shared" ref="GJ8:GK8" si="384">-GJ$17</f>
        <v>-8335</v>
      </c>
      <c r="GK8" s="26">
        <f t="shared" si="384"/>
        <v>-8335</v>
      </c>
      <c r="GL8" s="26">
        <f t="shared" si="385"/>
        <v>-8335</v>
      </c>
      <c r="GM8" s="22">
        <v>0.0</v>
      </c>
      <c r="GN8" s="20">
        <v>0.0</v>
      </c>
      <c r="GO8" s="20">
        <v>0.0</v>
      </c>
      <c r="GP8" s="21">
        <f t="shared" si="386"/>
        <v>0</v>
      </c>
      <c r="GQ8" s="19">
        <v>0.0</v>
      </c>
      <c r="GR8" s="26">
        <f t="shared" ref="GR8:GS8" si="387">-GR$17</f>
        <v>-2000</v>
      </c>
      <c r="GS8" s="26">
        <f t="shared" si="387"/>
        <v>-2000</v>
      </c>
      <c r="GT8" s="27">
        <f>-2500</f>
        <v>-2500</v>
      </c>
      <c r="GU8" s="19">
        <v>0.0</v>
      </c>
      <c r="GV8" s="20">
        <v>0.0</v>
      </c>
      <c r="GW8" s="20">
        <f>-GW17</f>
        <v>-1843</v>
      </c>
      <c r="GX8" s="21">
        <v>0.0</v>
      </c>
      <c r="GY8" s="19">
        <v>0.0</v>
      </c>
      <c r="GZ8" s="20">
        <v>0.0</v>
      </c>
      <c r="HA8" s="20">
        <v>0.0</v>
      </c>
      <c r="HB8" s="21">
        <f t="shared" si="388"/>
        <v>0</v>
      </c>
      <c r="HC8" s="19">
        <v>0.0</v>
      </c>
      <c r="HD8" s="26">
        <f t="shared" ref="HD8:HE8" si="389">-HD$17</f>
        <v>-5500</v>
      </c>
      <c r="HE8" s="26">
        <f t="shared" si="389"/>
        <v>-5500</v>
      </c>
      <c r="HF8" s="27">
        <f t="shared" si="332"/>
        <v>-5500</v>
      </c>
      <c r="HG8" s="19">
        <v>0.0</v>
      </c>
      <c r="HH8" s="26">
        <f t="shared" ref="HH8:HI8" si="390">-HH$17</f>
        <v>-1115.94</v>
      </c>
      <c r="HI8" s="26">
        <f t="shared" si="390"/>
        <v>-1115.94</v>
      </c>
      <c r="HJ8" s="27">
        <f t="shared" si="391"/>
        <v>-1115.94</v>
      </c>
      <c r="HK8" s="19">
        <v>0.0</v>
      </c>
      <c r="HL8" s="26">
        <f t="shared" ref="HL8:HM8" si="392">-HL$17</f>
        <v>-940</v>
      </c>
      <c r="HM8" s="26">
        <f t="shared" si="392"/>
        <v>-940</v>
      </c>
      <c r="HN8" s="27">
        <f t="shared" si="393"/>
        <v>-940</v>
      </c>
      <c r="HO8" s="19">
        <v>0.0</v>
      </c>
      <c r="HP8" s="26">
        <f t="shared" ref="HP8:HQ8" si="394">-HP$17</f>
        <v>-3000</v>
      </c>
      <c r="HQ8" s="26">
        <f t="shared" si="394"/>
        <v>-5662</v>
      </c>
      <c r="HR8" s="27">
        <f t="shared" si="395"/>
        <v>-5662</v>
      </c>
      <c r="HS8" s="19">
        <v>0.0</v>
      </c>
      <c r="HT8" s="26">
        <f>-HT$17</f>
        <v>-21205</v>
      </c>
      <c r="HU8" s="26">
        <f t="shared" ref="HU8:HV8" si="396">HT8</f>
        <v>-21205</v>
      </c>
      <c r="HV8" s="27">
        <f t="shared" si="396"/>
        <v>-21205</v>
      </c>
      <c r="HW8" s="19">
        <v>0.0</v>
      </c>
      <c r="HX8" s="26">
        <f t="shared" ref="HX8:HZ8" si="397">-HX$17</f>
        <v>-1320</v>
      </c>
      <c r="HY8" s="26">
        <f t="shared" si="397"/>
        <v>-660</v>
      </c>
      <c r="HZ8" s="27">
        <f t="shared" si="397"/>
        <v>-1320</v>
      </c>
      <c r="IA8" s="19">
        <v>0.0</v>
      </c>
      <c r="IB8" s="26">
        <f t="shared" ref="IB8:IC8" si="398">-IB$17</f>
        <v>-730</v>
      </c>
      <c r="IC8" s="26">
        <f t="shared" si="398"/>
        <v>-590</v>
      </c>
      <c r="ID8" s="27">
        <f>-ID17</f>
        <v>-1290</v>
      </c>
      <c r="IE8" s="19">
        <v>0.0</v>
      </c>
      <c r="IF8" s="26">
        <f t="shared" ref="IF8:IG8" si="399">-IF$17</f>
        <v>-540</v>
      </c>
      <c r="IG8" s="26">
        <f t="shared" si="399"/>
        <v>-540</v>
      </c>
      <c r="IH8" s="27">
        <f>-IH17</f>
        <v>-1050</v>
      </c>
      <c r="II8" s="19">
        <v>0.0</v>
      </c>
      <c r="IJ8" s="26">
        <f t="shared" ref="IJ8:IK8" si="400">-IJ$17</f>
        <v>-2750</v>
      </c>
      <c r="IK8" s="26">
        <f t="shared" si="400"/>
        <v>-2750</v>
      </c>
      <c r="IL8" s="27">
        <f t="shared" si="401"/>
        <v>-2750</v>
      </c>
      <c r="IM8" s="19">
        <v>0.0</v>
      </c>
      <c r="IN8" s="26">
        <f t="shared" ref="IN8:IO8" si="402">-IN$17</f>
        <v>-3660</v>
      </c>
      <c r="IO8" s="26">
        <f t="shared" si="402"/>
        <v>-3660</v>
      </c>
      <c r="IP8" s="27">
        <f t="shared" si="403"/>
        <v>-3660</v>
      </c>
      <c r="IQ8" s="19">
        <v>0.0</v>
      </c>
      <c r="IR8" s="26">
        <f t="shared" ref="IR8:IS8" si="404">-IR$17</f>
        <v>-5400</v>
      </c>
      <c r="IS8" s="26">
        <f t="shared" si="404"/>
        <v>-5400</v>
      </c>
      <c r="IT8" s="27">
        <f t="shared" si="405"/>
        <v>-5400</v>
      </c>
      <c r="IU8" s="19">
        <v>0.0</v>
      </c>
      <c r="IV8" s="26">
        <f t="shared" ref="IV8:IW8" si="406">-IV$17</f>
        <v>-2700</v>
      </c>
      <c r="IW8" s="26">
        <f t="shared" si="406"/>
        <v>-2300</v>
      </c>
      <c r="IX8" s="27">
        <f>-IX17</f>
        <v>-2070</v>
      </c>
      <c r="IY8" s="19">
        <v>0.0</v>
      </c>
      <c r="IZ8" s="26">
        <v>-4000.0</v>
      </c>
      <c r="JA8" s="26">
        <v>-4000.0</v>
      </c>
      <c r="JB8" s="27">
        <f t="shared" si="407"/>
        <v>-4000</v>
      </c>
      <c r="JC8" s="19">
        <v>0.0</v>
      </c>
      <c r="JD8" s="26">
        <v>-10000.0</v>
      </c>
      <c r="JE8" s="26">
        <v>-10000.0</v>
      </c>
      <c r="JF8" s="26">
        <f>-9709</f>
        <v>-9709</v>
      </c>
      <c r="JG8" s="19">
        <v>0.0</v>
      </c>
      <c r="JH8" s="26">
        <v>-5000.0</v>
      </c>
      <c r="JI8" s="26">
        <f t="shared" ref="JI8:JJ8" si="408">JH8</f>
        <v>-5000</v>
      </c>
      <c r="JJ8" s="27">
        <f t="shared" si="408"/>
        <v>-5000</v>
      </c>
      <c r="JK8" s="19">
        <v>0.0</v>
      </c>
      <c r="JL8" s="26">
        <v>-2000.0</v>
      </c>
      <c r="JM8" s="26">
        <v>-2000.0</v>
      </c>
      <c r="JN8" s="27">
        <f t="shared" si="409"/>
        <v>-2000</v>
      </c>
      <c r="JO8" s="19">
        <v>0.0</v>
      </c>
      <c r="JP8" s="20">
        <v>0.0</v>
      </c>
      <c r="JQ8" s="20">
        <f>-JQ17</f>
        <v>-945</v>
      </c>
      <c r="JR8" s="21">
        <f t="shared" si="410"/>
        <v>-945</v>
      </c>
      <c r="JS8" s="19">
        <v>0.0</v>
      </c>
      <c r="JT8" s="20">
        <v>-100.0</v>
      </c>
      <c r="JU8" s="20">
        <v>-100.0</v>
      </c>
      <c r="JV8" s="21">
        <f t="shared" si="411"/>
        <v>-100</v>
      </c>
      <c r="JW8" s="19">
        <v>0.0</v>
      </c>
      <c r="JX8" s="26">
        <f t="shared" ref="JX8:JY8" si="412">-JX$17</f>
        <v>-5347.5</v>
      </c>
      <c r="JY8" s="26">
        <f t="shared" si="412"/>
        <v>-5347.5</v>
      </c>
      <c r="JZ8" s="27">
        <f t="shared" si="413"/>
        <v>-5347.5</v>
      </c>
    </row>
    <row r="9" ht="15.75" customHeight="1">
      <c r="A9" s="24" t="s">
        <v>86</v>
      </c>
      <c r="B9" s="18"/>
      <c r="C9" s="19">
        <v>0.0</v>
      </c>
      <c r="D9" s="20">
        <f t="shared" ref="D9:F9" si="414">C9</f>
        <v>0</v>
      </c>
      <c r="E9" s="20">
        <f t="shared" si="414"/>
        <v>0</v>
      </c>
      <c r="F9" s="21">
        <f t="shared" si="414"/>
        <v>0</v>
      </c>
      <c r="G9" s="19">
        <v>0.0</v>
      </c>
      <c r="H9" s="20">
        <f t="shared" ref="H9:J9" si="415">G9</f>
        <v>0</v>
      </c>
      <c r="I9" s="20">
        <f t="shared" si="415"/>
        <v>0</v>
      </c>
      <c r="J9" s="21">
        <f t="shared" si="415"/>
        <v>0</v>
      </c>
      <c r="K9" s="19">
        <v>0.0</v>
      </c>
      <c r="L9" s="20">
        <f t="shared" ref="L9:N9" si="416">K9</f>
        <v>0</v>
      </c>
      <c r="M9" s="20">
        <f t="shared" si="416"/>
        <v>0</v>
      </c>
      <c r="N9" s="21">
        <f t="shared" si="416"/>
        <v>0</v>
      </c>
      <c r="O9" s="19">
        <v>0.0</v>
      </c>
      <c r="P9" s="20">
        <f t="shared" ref="P9:R9" si="417">O9</f>
        <v>0</v>
      </c>
      <c r="Q9" s="20">
        <f t="shared" si="417"/>
        <v>0</v>
      </c>
      <c r="R9" s="21">
        <f t="shared" si="417"/>
        <v>0</v>
      </c>
      <c r="S9" s="19">
        <v>0.0</v>
      </c>
      <c r="T9" s="20">
        <f t="shared" ref="T9:V9" si="418">S9</f>
        <v>0</v>
      </c>
      <c r="U9" s="20">
        <f t="shared" si="418"/>
        <v>0</v>
      </c>
      <c r="V9" s="21">
        <f t="shared" si="418"/>
        <v>0</v>
      </c>
      <c r="W9" s="25">
        <v>-10620.0</v>
      </c>
      <c r="X9" s="26">
        <f t="shared" ref="X9:Z9" si="419">W9</f>
        <v>-10620</v>
      </c>
      <c r="Y9" s="26">
        <f t="shared" si="419"/>
        <v>-10620</v>
      </c>
      <c r="Z9" s="27">
        <f t="shared" si="419"/>
        <v>-10620</v>
      </c>
      <c r="AA9" s="19">
        <v>0.0</v>
      </c>
      <c r="AB9" s="20">
        <f t="shared" ref="AB9:AD9" si="420">AA9</f>
        <v>0</v>
      </c>
      <c r="AC9" s="20">
        <f t="shared" si="420"/>
        <v>0</v>
      </c>
      <c r="AD9" s="21">
        <f t="shared" si="420"/>
        <v>0</v>
      </c>
      <c r="AE9" s="19">
        <v>0.0</v>
      </c>
      <c r="AF9" s="20">
        <f t="shared" ref="AF9:AH9" si="421">AE9</f>
        <v>0</v>
      </c>
      <c r="AG9" s="20">
        <f t="shared" si="421"/>
        <v>0</v>
      </c>
      <c r="AH9" s="21">
        <f t="shared" si="421"/>
        <v>0</v>
      </c>
      <c r="AI9" s="19">
        <v>0.0</v>
      </c>
      <c r="AJ9" s="20">
        <f t="shared" ref="AJ9:AL9" si="422">AI9</f>
        <v>0</v>
      </c>
      <c r="AK9" s="20">
        <f t="shared" si="422"/>
        <v>0</v>
      </c>
      <c r="AL9" s="21">
        <f t="shared" si="422"/>
        <v>0</v>
      </c>
      <c r="AM9" s="25">
        <v>-18690.0</v>
      </c>
      <c r="AN9" s="26">
        <f t="shared" ref="AN9:AP9" si="423">AM9</f>
        <v>-18690</v>
      </c>
      <c r="AO9" s="26">
        <f t="shared" si="423"/>
        <v>-18690</v>
      </c>
      <c r="AP9" s="27">
        <f t="shared" si="423"/>
        <v>-18690</v>
      </c>
      <c r="AQ9" s="19">
        <v>0.0</v>
      </c>
      <c r="AR9" s="20">
        <f t="shared" ref="AR9:AT9" si="424">AQ9</f>
        <v>0</v>
      </c>
      <c r="AS9" s="20">
        <f t="shared" si="424"/>
        <v>0</v>
      </c>
      <c r="AT9" s="21">
        <f t="shared" si="424"/>
        <v>0</v>
      </c>
      <c r="AU9" s="25">
        <f>23520</f>
        <v>23520</v>
      </c>
      <c r="AV9" s="26">
        <f t="shared" ref="AV9:AX9" si="425">AU9</f>
        <v>23520</v>
      </c>
      <c r="AW9" s="26">
        <f t="shared" si="425"/>
        <v>23520</v>
      </c>
      <c r="AX9" s="27">
        <f t="shared" si="425"/>
        <v>23520</v>
      </c>
      <c r="AY9" s="19">
        <v>0.0</v>
      </c>
      <c r="AZ9" s="20">
        <f t="shared" ref="AZ9:BB9" si="426">AY9</f>
        <v>0</v>
      </c>
      <c r="BA9" s="20">
        <f t="shared" si="426"/>
        <v>0</v>
      </c>
      <c r="BB9" s="21">
        <f t="shared" si="426"/>
        <v>0</v>
      </c>
      <c r="BC9" s="25">
        <v>-40620.0</v>
      </c>
      <c r="BD9" s="26">
        <f t="shared" ref="BD9:BF9" si="427">BC9</f>
        <v>-40620</v>
      </c>
      <c r="BE9" s="26">
        <f t="shared" si="427"/>
        <v>-40620</v>
      </c>
      <c r="BF9" s="27">
        <f t="shared" si="427"/>
        <v>-40620</v>
      </c>
      <c r="BG9" s="19">
        <v>0.0</v>
      </c>
      <c r="BH9" s="20">
        <f t="shared" ref="BH9:BJ9" si="428">BG9</f>
        <v>0</v>
      </c>
      <c r="BI9" s="20">
        <f t="shared" si="428"/>
        <v>0</v>
      </c>
      <c r="BJ9" s="21">
        <f t="shared" si="428"/>
        <v>0</v>
      </c>
      <c r="BK9" s="25">
        <v>-57960.0</v>
      </c>
      <c r="BL9" s="26">
        <f t="shared" ref="BL9:BN9" si="429">BK9</f>
        <v>-57960</v>
      </c>
      <c r="BM9" s="26">
        <f t="shared" si="429"/>
        <v>-57960</v>
      </c>
      <c r="BN9" s="27">
        <f t="shared" si="429"/>
        <v>-57960</v>
      </c>
      <c r="BO9" s="25">
        <v>-9510.0</v>
      </c>
      <c r="BP9" s="26">
        <f t="shared" ref="BP9:BR9" si="430">BO9</f>
        <v>-9510</v>
      </c>
      <c r="BQ9" s="26">
        <f t="shared" si="430"/>
        <v>-9510</v>
      </c>
      <c r="BR9" s="27">
        <f t="shared" si="430"/>
        <v>-9510</v>
      </c>
      <c r="BS9" s="25">
        <v>-3570.0</v>
      </c>
      <c r="BT9" s="26">
        <f t="shared" ref="BT9:BV9" si="431">BS9</f>
        <v>-3570</v>
      </c>
      <c r="BU9" s="26">
        <f t="shared" si="431"/>
        <v>-3570</v>
      </c>
      <c r="BV9" s="27">
        <f t="shared" si="431"/>
        <v>-3570</v>
      </c>
      <c r="BW9" s="25">
        <v>-1740.0</v>
      </c>
      <c r="BX9" s="26">
        <f t="shared" ref="BX9:BZ9" si="432">BW9</f>
        <v>-1740</v>
      </c>
      <c r="BY9" s="26">
        <f t="shared" si="432"/>
        <v>-1740</v>
      </c>
      <c r="BZ9" s="27">
        <f t="shared" si="432"/>
        <v>-1740</v>
      </c>
      <c r="CA9" s="25">
        <v>-7980.0</v>
      </c>
      <c r="CB9" s="26">
        <f t="shared" ref="CB9:CD9" si="433">CA9</f>
        <v>-7980</v>
      </c>
      <c r="CC9" s="26">
        <f t="shared" si="433"/>
        <v>-7980</v>
      </c>
      <c r="CD9" s="27">
        <f t="shared" si="433"/>
        <v>-7980</v>
      </c>
      <c r="CE9" s="25">
        <v>-11310.0</v>
      </c>
      <c r="CF9" s="26">
        <f t="shared" ref="CF9:CH9" si="434">CE9</f>
        <v>-11310</v>
      </c>
      <c r="CG9" s="26">
        <f t="shared" si="434"/>
        <v>-11310</v>
      </c>
      <c r="CH9" s="27">
        <f t="shared" si="434"/>
        <v>-11310</v>
      </c>
      <c r="CI9" s="25">
        <v>-9300.0</v>
      </c>
      <c r="CJ9" s="26">
        <f t="shared" ref="CJ9:CL9" si="435">CI9</f>
        <v>-9300</v>
      </c>
      <c r="CK9" s="26">
        <f t="shared" si="435"/>
        <v>-9300</v>
      </c>
      <c r="CL9" s="27">
        <f t="shared" si="435"/>
        <v>-9300</v>
      </c>
      <c r="CM9" s="25">
        <v>-1740.0</v>
      </c>
      <c r="CN9" s="26">
        <f t="shared" ref="CN9:CP9" si="436">CM9</f>
        <v>-1740</v>
      </c>
      <c r="CO9" s="26">
        <f t="shared" si="436"/>
        <v>-1740</v>
      </c>
      <c r="CP9" s="27">
        <f t="shared" si="436"/>
        <v>-1740</v>
      </c>
      <c r="CQ9" s="25">
        <v>-7530.0</v>
      </c>
      <c r="CR9" s="26">
        <f t="shared" ref="CR9:CT9" si="437">CQ9</f>
        <v>-7530</v>
      </c>
      <c r="CS9" s="26">
        <f t="shared" si="437"/>
        <v>-7530</v>
      </c>
      <c r="CT9" s="27">
        <f t="shared" si="437"/>
        <v>-7530</v>
      </c>
      <c r="CU9" s="25">
        <v>-2160.0</v>
      </c>
      <c r="CV9" s="26">
        <f t="shared" ref="CV9:CX9" si="438">CU9</f>
        <v>-2160</v>
      </c>
      <c r="CW9" s="26">
        <f t="shared" si="438"/>
        <v>-2160</v>
      </c>
      <c r="CX9" s="27">
        <f t="shared" si="438"/>
        <v>-2160</v>
      </c>
      <c r="CY9" s="25">
        <v>-21210.0</v>
      </c>
      <c r="CZ9" s="26">
        <f t="shared" ref="CZ9:DB9" si="439">CY9</f>
        <v>-21210</v>
      </c>
      <c r="DA9" s="26">
        <f t="shared" si="439"/>
        <v>-21210</v>
      </c>
      <c r="DB9" s="27">
        <f t="shared" si="439"/>
        <v>-21210</v>
      </c>
      <c r="DC9" s="25">
        <v>-8610.0</v>
      </c>
      <c r="DD9" s="26">
        <f t="shared" ref="DD9:DF9" si="440">DC9</f>
        <v>-8610</v>
      </c>
      <c r="DE9" s="26">
        <f t="shared" si="440"/>
        <v>-8610</v>
      </c>
      <c r="DF9" s="27">
        <f t="shared" si="440"/>
        <v>-8610</v>
      </c>
      <c r="DG9" s="25">
        <v>-7110.0</v>
      </c>
      <c r="DH9" s="26">
        <f t="shared" ref="DH9:DJ9" si="441">DG9</f>
        <v>-7110</v>
      </c>
      <c r="DI9" s="26">
        <f t="shared" si="441"/>
        <v>-7110</v>
      </c>
      <c r="DJ9" s="27">
        <f t="shared" si="441"/>
        <v>-7110</v>
      </c>
      <c r="DK9" s="25">
        <v>-7800.0</v>
      </c>
      <c r="DL9" s="26">
        <f t="shared" ref="DL9:DN9" si="442">DK9</f>
        <v>-7800</v>
      </c>
      <c r="DM9" s="26">
        <f t="shared" si="442"/>
        <v>-7800</v>
      </c>
      <c r="DN9" s="27">
        <f t="shared" si="442"/>
        <v>-7800</v>
      </c>
      <c r="DO9" s="25">
        <v>-9990.0</v>
      </c>
      <c r="DP9" s="26">
        <f t="shared" ref="DP9:DR9" si="443">DO9</f>
        <v>-9990</v>
      </c>
      <c r="DQ9" s="26">
        <f t="shared" si="443"/>
        <v>-9990</v>
      </c>
      <c r="DR9" s="27">
        <f t="shared" si="443"/>
        <v>-9990</v>
      </c>
      <c r="DS9" s="25">
        <v>-5340.0</v>
      </c>
      <c r="DT9" s="26">
        <f t="shared" ref="DT9:DV9" si="444">DS9</f>
        <v>-5340</v>
      </c>
      <c r="DU9" s="26">
        <f t="shared" si="444"/>
        <v>-5340</v>
      </c>
      <c r="DV9" s="27">
        <f t="shared" si="444"/>
        <v>-5340</v>
      </c>
      <c r="DW9" s="25">
        <v>-1770.0</v>
      </c>
      <c r="DX9" s="26">
        <f t="shared" ref="DX9:DZ9" si="445">DW9</f>
        <v>-1770</v>
      </c>
      <c r="DY9" s="26">
        <f t="shared" si="445"/>
        <v>-1770</v>
      </c>
      <c r="DZ9" s="27">
        <f t="shared" si="445"/>
        <v>-1770</v>
      </c>
      <c r="EA9" s="25">
        <v>-25530.0</v>
      </c>
      <c r="EB9" s="26">
        <f t="shared" ref="EB9:ED9" si="446">EA9</f>
        <v>-25530</v>
      </c>
      <c r="EC9" s="26">
        <f t="shared" si="446"/>
        <v>-25530</v>
      </c>
      <c r="ED9" s="27">
        <f t="shared" si="446"/>
        <v>-25530</v>
      </c>
      <c r="EE9" s="25">
        <v>-4470.0</v>
      </c>
      <c r="EF9" s="26">
        <f t="shared" ref="EF9:EH9" si="447">EE9</f>
        <v>-4470</v>
      </c>
      <c r="EG9" s="26">
        <f t="shared" si="447"/>
        <v>-4470</v>
      </c>
      <c r="EH9" s="27">
        <f t="shared" si="447"/>
        <v>-4470</v>
      </c>
      <c r="EI9" s="25">
        <v>-1440.0</v>
      </c>
      <c r="EJ9" s="27">
        <f t="shared" ref="EJ9:EK9" si="448">EI9</f>
        <v>-1440</v>
      </c>
      <c r="EK9" s="27">
        <f t="shared" si="448"/>
        <v>-1440</v>
      </c>
      <c r="EL9" s="27">
        <f t="shared" si="296"/>
        <v>-1440</v>
      </c>
      <c r="EM9" s="25">
        <v>-1440.0</v>
      </c>
      <c r="EN9" s="26">
        <f t="shared" ref="EN9:EP9" si="449">EM9</f>
        <v>-1440</v>
      </c>
      <c r="EO9" s="26">
        <f t="shared" si="449"/>
        <v>-1440</v>
      </c>
      <c r="EP9" s="27">
        <f t="shared" si="449"/>
        <v>-1440</v>
      </c>
      <c r="EQ9" s="25">
        <v>-5670.0</v>
      </c>
      <c r="ER9" s="26">
        <f t="shared" ref="ER9:ET9" si="450">EQ9</f>
        <v>-5670</v>
      </c>
      <c r="ES9" s="26">
        <f t="shared" si="450"/>
        <v>-5670</v>
      </c>
      <c r="ET9" s="27">
        <f t="shared" si="450"/>
        <v>-5670</v>
      </c>
      <c r="EU9" s="19">
        <v>0.0</v>
      </c>
      <c r="EV9" s="20">
        <f t="shared" ref="EV9:EX9" si="451">EU9</f>
        <v>0</v>
      </c>
      <c r="EW9" s="20">
        <f t="shared" si="451"/>
        <v>0</v>
      </c>
      <c r="EX9" s="21">
        <f t="shared" si="451"/>
        <v>0</v>
      </c>
      <c r="EY9" s="19">
        <v>0.0</v>
      </c>
      <c r="EZ9" s="20">
        <f t="shared" ref="EZ9:FB9" si="452">EY9</f>
        <v>0</v>
      </c>
      <c r="FA9" s="20">
        <f t="shared" si="452"/>
        <v>0</v>
      </c>
      <c r="FB9" s="21">
        <f t="shared" si="452"/>
        <v>0</v>
      </c>
      <c r="FC9" s="19">
        <v>0.0</v>
      </c>
      <c r="FD9" s="20">
        <f t="shared" ref="FD9:FF9" si="453">FC9</f>
        <v>0</v>
      </c>
      <c r="FE9" s="20">
        <f t="shared" si="453"/>
        <v>0</v>
      </c>
      <c r="FF9" s="21">
        <f t="shared" si="453"/>
        <v>0</v>
      </c>
      <c r="FG9" s="19">
        <v>0.0</v>
      </c>
      <c r="FH9" s="20">
        <f t="shared" ref="FH9:FJ9" si="454">FG9</f>
        <v>0</v>
      </c>
      <c r="FI9" s="20">
        <f t="shared" si="454"/>
        <v>0</v>
      </c>
      <c r="FJ9" s="21">
        <f t="shared" si="454"/>
        <v>0</v>
      </c>
      <c r="FK9" s="19">
        <v>0.0</v>
      </c>
      <c r="FL9" s="20">
        <f t="shared" ref="FL9:FN9" si="455">FK9</f>
        <v>0</v>
      </c>
      <c r="FM9" s="20">
        <f t="shared" si="455"/>
        <v>0</v>
      </c>
      <c r="FN9" s="21">
        <f t="shared" si="455"/>
        <v>0</v>
      </c>
      <c r="FO9" s="19">
        <v>0.0</v>
      </c>
      <c r="FP9" s="20">
        <f t="shared" ref="FP9:FR9" si="456">FO9</f>
        <v>0</v>
      </c>
      <c r="FQ9" s="20">
        <f t="shared" si="456"/>
        <v>0</v>
      </c>
      <c r="FR9" s="21">
        <f t="shared" si="456"/>
        <v>0</v>
      </c>
      <c r="FS9" s="19">
        <v>0.0</v>
      </c>
      <c r="FT9" s="20">
        <f t="shared" ref="FT9:FV9" si="457">FS9</f>
        <v>0</v>
      </c>
      <c r="FU9" s="20">
        <f t="shared" si="457"/>
        <v>0</v>
      </c>
      <c r="FV9" s="21">
        <f t="shared" si="457"/>
        <v>0</v>
      </c>
      <c r="FW9" s="19">
        <v>0.0</v>
      </c>
      <c r="FX9" s="20">
        <v>0.0</v>
      </c>
      <c r="FY9" s="20">
        <v>0.0</v>
      </c>
      <c r="FZ9" s="21">
        <f t="shared" si="380"/>
        <v>0</v>
      </c>
      <c r="GA9" s="25">
        <v>-2070.0</v>
      </c>
      <c r="GB9" s="26">
        <f t="shared" ref="GB9:GD9" si="458">GA9</f>
        <v>-2070</v>
      </c>
      <c r="GC9" s="26">
        <f t="shared" si="458"/>
        <v>-2070</v>
      </c>
      <c r="GD9" s="27">
        <f t="shared" si="458"/>
        <v>-2070</v>
      </c>
      <c r="GE9" s="19">
        <v>0.0</v>
      </c>
      <c r="GF9" s="20">
        <f t="shared" ref="GF9:GH9" si="459">GE9</f>
        <v>0</v>
      </c>
      <c r="GG9" s="20">
        <f t="shared" si="459"/>
        <v>0</v>
      </c>
      <c r="GH9" s="21">
        <f t="shared" si="459"/>
        <v>0</v>
      </c>
      <c r="GI9" s="19">
        <v>0.0</v>
      </c>
      <c r="GJ9" s="20">
        <f t="shared" ref="GJ9:GL9" si="460">GI9</f>
        <v>0</v>
      </c>
      <c r="GK9" s="20">
        <f t="shared" si="460"/>
        <v>0</v>
      </c>
      <c r="GL9" s="20">
        <f t="shared" si="460"/>
        <v>0</v>
      </c>
      <c r="GM9" s="22">
        <v>0.0</v>
      </c>
      <c r="GN9" s="20">
        <f t="shared" ref="GN9:GP9" si="461">GM9</f>
        <v>0</v>
      </c>
      <c r="GO9" s="20">
        <f t="shared" si="461"/>
        <v>0</v>
      </c>
      <c r="GP9" s="21">
        <f t="shared" si="461"/>
        <v>0</v>
      </c>
      <c r="GQ9" s="19">
        <v>0.0</v>
      </c>
      <c r="GR9" s="20">
        <f t="shared" ref="GR9:GT9" si="462">GQ9</f>
        <v>0</v>
      </c>
      <c r="GS9" s="20">
        <f t="shared" si="462"/>
        <v>0</v>
      </c>
      <c r="GT9" s="21">
        <f t="shared" si="462"/>
        <v>0</v>
      </c>
      <c r="GU9" s="19">
        <v>0.0</v>
      </c>
      <c r="GV9" s="20">
        <f t="shared" ref="GV9:GX9" si="463">GU9</f>
        <v>0</v>
      </c>
      <c r="GW9" s="20">
        <f t="shared" si="463"/>
        <v>0</v>
      </c>
      <c r="GX9" s="21">
        <f t="shared" si="463"/>
        <v>0</v>
      </c>
      <c r="GY9" s="25">
        <v>-2070.0</v>
      </c>
      <c r="GZ9" s="26">
        <f t="shared" ref="GZ9:HB9" si="464">GY9</f>
        <v>-2070</v>
      </c>
      <c r="HA9" s="26">
        <f t="shared" si="464"/>
        <v>-2070</v>
      </c>
      <c r="HB9" s="27">
        <f t="shared" si="464"/>
        <v>-2070</v>
      </c>
      <c r="HC9" s="19">
        <v>0.0</v>
      </c>
      <c r="HD9" s="20">
        <f t="shared" ref="HD9:HF9" si="465">HC9</f>
        <v>0</v>
      </c>
      <c r="HE9" s="20">
        <f t="shared" si="465"/>
        <v>0</v>
      </c>
      <c r="HF9" s="21">
        <f t="shared" si="465"/>
        <v>0</v>
      </c>
      <c r="HG9" s="19">
        <v>0.0</v>
      </c>
      <c r="HH9" s="20">
        <f t="shared" ref="HH9:HJ9" si="466">HG9</f>
        <v>0</v>
      </c>
      <c r="HI9" s="20">
        <f t="shared" si="466"/>
        <v>0</v>
      </c>
      <c r="HJ9" s="21">
        <f t="shared" si="466"/>
        <v>0</v>
      </c>
      <c r="HK9" s="19">
        <v>0.0</v>
      </c>
      <c r="HL9" s="20">
        <f t="shared" ref="HL9:HN9" si="467">HK9</f>
        <v>0</v>
      </c>
      <c r="HM9" s="20">
        <f t="shared" si="467"/>
        <v>0</v>
      </c>
      <c r="HN9" s="21">
        <f t="shared" si="467"/>
        <v>0</v>
      </c>
      <c r="HO9" s="19">
        <v>0.0</v>
      </c>
      <c r="HP9" s="20">
        <f t="shared" ref="HP9:HR9" si="468">HO9</f>
        <v>0</v>
      </c>
      <c r="HQ9" s="20">
        <f t="shared" si="468"/>
        <v>0</v>
      </c>
      <c r="HR9" s="21">
        <f t="shared" si="468"/>
        <v>0</v>
      </c>
      <c r="HS9" s="19">
        <v>0.0</v>
      </c>
      <c r="HT9" s="20">
        <f t="shared" ref="HT9:HV9" si="469">HS9</f>
        <v>0</v>
      </c>
      <c r="HU9" s="20">
        <f t="shared" si="469"/>
        <v>0</v>
      </c>
      <c r="HV9" s="21">
        <f t="shared" si="469"/>
        <v>0</v>
      </c>
      <c r="HW9" s="19">
        <v>0.0</v>
      </c>
      <c r="HX9" s="20">
        <f t="shared" ref="HX9:HZ9" si="470">HW9</f>
        <v>0</v>
      </c>
      <c r="HY9" s="20">
        <f t="shared" si="470"/>
        <v>0</v>
      </c>
      <c r="HZ9" s="21">
        <f t="shared" si="470"/>
        <v>0</v>
      </c>
      <c r="IA9" s="19">
        <v>0.0</v>
      </c>
      <c r="IB9" s="20">
        <f t="shared" ref="IB9:ID9" si="471">IA9</f>
        <v>0</v>
      </c>
      <c r="IC9" s="20">
        <f t="shared" si="471"/>
        <v>0</v>
      </c>
      <c r="ID9" s="21">
        <f t="shared" si="471"/>
        <v>0</v>
      </c>
      <c r="IE9" s="19">
        <v>0.0</v>
      </c>
      <c r="IF9" s="20">
        <f t="shared" ref="IF9:IH9" si="472">IE9</f>
        <v>0</v>
      </c>
      <c r="IG9" s="20">
        <f t="shared" si="472"/>
        <v>0</v>
      </c>
      <c r="IH9" s="21">
        <f t="shared" si="472"/>
        <v>0</v>
      </c>
      <c r="II9" s="19">
        <v>0.0</v>
      </c>
      <c r="IJ9" s="20">
        <f t="shared" ref="IJ9:IL9" si="473">II9</f>
        <v>0</v>
      </c>
      <c r="IK9" s="20">
        <f t="shared" si="473"/>
        <v>0</v>
      </c>
      <c r="IL9" s="21">
        <f t="shared" si="473"/>
        <v>0</v>
      </c>
      <c r="IM9" s="19">
        <v>0.0</v>
      </c>
      <c r="IN9" s="20">
        <f t="shared" ref="IN9:IP9" si="474">IM9</f>
        <v>0</v>
      </c>
      <c r="IO9" s="20">
        <f t="shared" si="474"/>
        <v>0</v>
      </c>
      <c r="IP9" s="21">
        <f t="shared" si="474"/>
        <v>0</v>
      </c>
      <c r="IQ9" s="19">
        <v>0.0</v>
      </c>
      <c r="IR9" s="20">
        <f t="shared" ref="IR9:IT9" si="475">IQ9</f>
        <v>0</v>
      </c>
      <c r="IS9" s="20">
        <f t="shared" si="475"/>
        <v>0</v>
      </c>
      <c r="IT9" s="21">
        <f t="shared" si="475"/>
        <v>0</v>
      </c>
      <c r="IU9" s="19">
        <v>0.0</v>
      </c>
      <c r="IV9" s="20">
        <f t="shared" ref="IV9:IX9" si="476">IU9</f>
        <v>0</v>
      </c>
      <c r="IW9" s="20">
        <f t="shared" si="476"/>
        <v>0</v>
      </c>
      <c r="IX9" s="21">
        <f t="shared" si="476"/>
        <v>0</v>
      </c>
      <c r="IY9" s="19">
        <v>0.0</v>
      </c>
      <c r="IZ9" s="20">
        <f t="shared" ref="IZ9:JB9" si="477">IY9</f>
        <v>0</v>
      </c>
      <c r="JA9" s="20">
        <f t="shared" si="477"/>
        <v>0</v>
      </c>
      <c r="JB9" s="21">
        <f t="shared" si="477"/>
        <v>0</v>
      </c>
      <c r="JC9" s="19">
        <v>0.0</v>
      </c>
      <c r="JD9" s="20">
        <f t="shared" ref="JD9:JF9" si="478">JC9</f>
        <v>0</v>
      </c>
      <c r="JE9" s="20">
        <f t="shared" si="478"/>
        <v>0</v>
      </c>
      <c r="JF9" s="20">
        <f t="shared" si="478"/>
        <v>0</v>
      </c>
      <c r="JG9" s="19">
        <v>0.0</v>
      </c>
      <c r="JH9" s="20">
        <f t="shared" ref="JH9:JJ9" si="479">JG9</f>
        <v>0</v>
      </c>
      <c r="JI9" s="20">
        <f t="shared" si="479"/>
        <v>0</v>
      </c>
      <c r="JJ9" s="21">
        <f t="shared" si="479"/>
        <v>0</v>
      </c>
      <c r="JK9" s="19">
        <v>0.0</v>
      </c>
      <c r="JL9" s="20">
        <f t="shared" ref="JL9:JN9" si="480">JK9</f>
        <v>0</v>
      </c>
      <c r="JM9" s="20">
        <f t="shared" si="480"/>
        <v>0</v>
      </c>
      <c r="JN9" s="21">
        <f t="shared" si="480"/>
        <v>0</v>
      </c>
      <c r="JO9" s="19">
        <v>0.0</v>
      </c>
      <c r="JP9" s="20">
        <f t="shared" ref="JP9:JR9" si="481">JO9</f>
        <v>0</v>
      </c>
      <c r="JQ9" s="20">
        <f t="shared" si="481"/>
        <v>0</v>
      </c>
      <c r="JR9" s="21">
        <f t="shared" si="481"/>
        <v>0</v>
      </c>
      <c r="JS9" s="19">
        <v>0.0</v>
      </c>
      <c r="JT9" s="20">
        <f t="shared" ref="JT9:JV9" si="482">JS9</f>
        <v>0</v>
      </c>
      <c r="JU9" s="20">
        <f t="shared" si="482"/>
        <v>0</v>
      </c>
      <c r="JV9" s="21">
        <f t="shared" si="482"/>
        <v>0</v>
      </c>
      <c r="JW9" s="19">
        <v>0.0</v>
      </c>
      <c r="JX9" s="20">
        <f t="shared" ref="JX9:JZ9" si="483">JW9</f>
        <v>0</v>
      </c>
      <c r="JY9" s="20">
        <f t="shared" si="483"/>
        <v>0</v>
      </c>
      <c r="JZ9" s="21">
        <f t="shared" si="483"/>
        <v>0</v>
      </c>
    </row>
    <row r="10" ht="15.75" customHeight="1">
      <c r="A10" s="24" t="s">
        <v>87</v>
      </c>
      <c r="B10" s="18"/>
      <c r="C10" s="19">
        <v>0.0</v>
      </c>
      <c r="D10" s="20">
        <f t="shared" ref="D10:F10" si="484">C10</f>
        <v>0</v>
      </c>
      <c r="E10" s="20">
        <f t="shared" si="484"/>
        <v>0</v>
      </c>
      <c r="F10" s="21">
        <f t="shared" si="484"/>
        <v>0</v>
      </c>
      <c r="G10" s="25">
        <v>-2500.0</v>
      </c>
      <c r="H10" s="26">
        <f t="shared" ref="H10:J10" si="485">G10</f>
        <v>-2500</v>
      </c>
      <c r="I10" s="26">
        <f t="shared" si="485"/>
        <v>-2500</v>
      </c>
      <c r="J10" s="27">
        <f t="shared" si="485"/>
        <v>-2500</v>
      </c>
      <c r="K10" s="19">
        <v>0.0</v>
      </c>
      <c r="L10" s="20">
        <f t="shared" ref="L10:N10" si="486">K10</f>
        <v>0</v>
      </c>
      <c r="M10" s="20">
        <f t="shared" si="486"/>
        <v>0</v>
      </c>
      <c r="N10" s="21">
        <f t="shared" si="486"/>
        <v>0</v>
      </c>
      <c r="O10" s="19">
        <v>0.0</v>
      </c>
      <c r="P10" s="20">
        <f t="shared" ref="P10:R10" si="487">O10</f>
        <v>0</v>
      </c>
      <c r="Q10" s="20">
        <f t="shared" si="487"/>
        <v>0</v>
      </c>
      <c r="R10" s="21">
        <f t="shared" si="487"/>
        <v>0</v>
      </c>
      <c r="S10" s="19">
        <v>0.0</v>
      </c>
      <c r="T10" s="20">
        <f t="shared" ref="T10:V10" si="488">S10</f>
        <v>0</v>
      </c>
      <c r="U10" s="20">
        <f t="shared" si="488"/>
        <v>0</v>
      </c>
      <c r="V10" s="21">
        <f t="shared" si="488"/>
        <v>0</v>
      </c>
      <c r="W10" s="19" t="s">
        <v>88</v>
      </c>
      <c r="X10" s="20" t="str">
        <f t="shared" ref="X10:Z10" si="489">W10</f>
        <v>-</v>
      </c>
      <c r="Y10" s="20" t="str">
        <f t="shared" si="489"/>
        <v>-</v>
      </c>
      <c r="Z10" s="21" t="str">
        <f t="shared" si="489"/>
        <v>-</v>
      </c>
      <c r="AA10" s="19">
        <v>0.0</v>
      </c>
      <c r="AB10" s="20">
        <f t="shared" ref="AB10:AD10" si="490">AA10</f>
        <v>0</v>
      </c>
      <c r="AC10" s="20">
        <f t="shared" si="490"/>
        <v>0</v>
      </c>
      <c r="AD10" s="21">
        <f t="shared" si="490"/>
        <v>0</v>
      </c>
      <c r="AE10" s="19">
        <v>0.0</v>
      </c>
      <c r="AF10" s="20">
        <f t="shared" ref="AF10:AH10" si="491">AE10</f>
        <v>0</v>
      </c>
      <c r="AG10" s="20">
        <f t="shared" si="491"/>
        <v>0</v>
      </c>
      <c r="AH10" s="21">
        <f t="shared" si="491"/>
        <v>0</v>
      </c>
      <c r="AI10" s="19">
        <v>0.0</v>
      </c>
      <c r="AJ10" s="20">
        <f t="shared" ref="AJ10:AL10" si="492">AI10</f>
        <v>0</v>
      </c>
      <c r="AK10" s="20">
        <f t="shared" si="492"/>
        <v>0</v>
      </c>
      <c r="AL10" s="21">
        <f t="shared" si="492"/>
        <v>0</v>
      </c>
      <c r="AM10" s="25">
        <v>-120000.0</v>
      </c>
      <c r="AN10" s="26">
        <f t="shared" ref="AN10:AP10" si="493">AM10</f>
        <v>-120000</v>
      </c>
      <c r="AO10" s="26">
        <f t="shared" si="493"/>
        <v>-120000</v>
      </c>
      <c r="AP10" s="27">
        <f t="shared" si="493"/>
        <v>-120000</v>
      </c>
      <c r="AQ10" s="25">
        <v>-80000.0</v>
      </c>
      <c r="AR10" s="26">
        <f t="shared" ref="AR10:AT10" si="494">AQ10</f>
        <v>-80000</v>
      </c>
      <c r="AS10" s="26">
        <f t="shared" si="494"/>
        <v>-80000</v>
      </c>
      <c r="AT10" s="27">
        <f t="shared" si="494"/>
        <v>-80000</v>
      </c>
      <c r="AU10" s="19">
        <v>0.0</v>
      </c>
      <c r="AV10" s="20">
        <f t="shared" ref="AV10:AX10" si="495">AU10</f>
        <v>0</v>
      </c>
      <c r="AW10" s="20">
        <f t="shared" si="495"/>
        <v>0</v>
      </c>
      <c r="AX10" s="21">
        <f t="shared" si="495"/>
        <v>0</v>
      </c>
      <c r="AY10" s="25">
        <v>-1000.0</v>
      </c>
      <c r="AZ10" s="26">
        <f t="shared" ref="AZ10:BB10" si="496">AY10</f>
        <v>-1000</v>
      </c>
      <c r="BA10" s="26">
        <f t="shared" si="496"/>
        <v>-1000</v>
      </c>
      <c r="BB10" s="27">
        <f t="shared" si="496"/>
        <v>-1000</v>
      </c>
      <c r="BC10" s="25">
        <v>-5000.0</v>
      </c>
      <c r="BD10" s="26">
        <f t="shared" ref="BD10:BF10" si="497">BC10</f>
        <v>-5000</v>
      </c>
      <c r="BE10" s="26">
        <f t="shared" si="497"/>
        <v>-5000</v>
      </c>
      <c r="BF10" s="27">
        <f t="shared" si="497"/>
        <v>-5000</v>
      </c>
      <c r="BG10" s="25">
        <v>-35000.0</v>
      </c>
      <c r="BH10" s="20">
        <v>0.0</v>
      </c>
      <c r="BI10" s="20">
        <f t="shared" ref="BI10:BJ10" si="498">BH10</f>
        <v>0</v>
      </c>
      <c r="BJ10" s="21">
        <f t="shared" si="498"/>
        <v>0</v>
      </c>
      <c r="BK10" s="25">
        <v>-52360.0</v>
      </c>
      <c r="BL10" s="26">
        <f t="shared" ref="BL10:BN10" si="499">BK10</f>
        <v>-52360</v>
      </c>
      <c r="BM10" s="26">
        <f t="shared" si="499"/>
        <v>-52360</v>
      </c>
      <c r="BN10" s="27">
        <f t="shared" si="499"/>
        <v>-52360</v>
      </c>
      <c r="BO10" s="19">
        <v>0.0</v>
      </c>
      <c r="BP10" s="20">
        <f t="shared" ref="BP10:BR10" si="500">BO10</f>
        <v>0</v>
      </c>
      <c r="BQ10" s="20">
        <f t="shared" si="500"/>
        <v>0</v>
      </c>
      <c r="BR10" s="21">
        <f t="shared" si="500"/>
        <v>0</v>
      </c>
      <c r="BS10" s="25">
        <v>-200.0</v>
      </c>
      <c r="BT10" s="26">
        <f t="shared" ref="BT10:BV10" si="501">BS10</f>
        <v>-200</v>
      </c>
      <c r="BU10" s="26">
        <f t="shared" si="501"/>
        <v>-200</v>
      </c>
      <c r="BV10" s="27">
        <f t="shared" si="501"/>
        <v>-200</v>
      </c>
      <c r="BW10" s="19">
        <v>0.0</v>
      </c>
      <c r="BX10" s="20">
        <f t="shared" ref="BX10:BZ10" si="502">BW10</f>
        <v>0</v>
      </c>
      <c r="BY10" s="20">
        <f t="shared" si="502"/>
        <v>0</v>
      </c>
      <c r="BZ10" s="21">
        <f t="shared" si="502"/>
        <v>0</v>
      </c>
      <c r="CA10" s="19">
        <v>0.0</v>
      </c>
      <c r="CB10" s="20">
        <f t="shared" ref="CB10:CD10" si="503">CA10</f>
        <v>0</v>
      </c>
      <c r="CC10" s="20">
        <f t="shared" si="503"/>
        <v>0</v>
      </c>
      <c r="CD10" s="21">
        <f t="shared" si="503"/>
        <v>0</v>
      </c>
      <c r="CE10" s="19">
        <v>0.0</v>
      </c>
      <c r="CF10" s="20">
        <f t="shared" ref="CF10:CH10" si="504">CE10</f>
        <v>0</v>
      </c>
      <c r="CG10" s="20">
        <f t="shared" si="504"/>
        <v>0</v>
      </c>
      <c r="CH10" s="21">
        <f t="shared" si="504"/>
        <v>0</v>
      </c>
      <c r="CI10" s="19">
        <v>0.0</v>
      </c>
      <c r="CJ10" s="20">
        <f t="shared" ref="CJ10:CL10" si="505">CI10</f>
        <v>0</v>
      </c>
      <c r="CK10" s="20">
        <f t="shared" si="505"/>
        <v>0</v>
      </c>
      <c r="CL10" s="21">
        <f t="shared" si="505"/>
        <v>0</v>
      </c>
      <c r="CM10" s="19">
        <v>0.0</v>
      </c>
      <c r="CN10" s="20">
        <f t="shared" ref="CN10:CP10" si="506">CM10</f>
        <v>0</v>
      </c>
      <c r="CO10" s="20">
        <f t="shared" si="506"/>
        <v>0</v>
      </c>
      <c r="CP10" s="21">
        <f t="shared" si="506"/>
        <v>0</v>
      </c>
      <c r="CQ10" s="19">
        <v>0.0</v>
      </c>
      <c r="CR10" s="20">
        <f t="shared" ref="CR10:CT10" si="507">CQ10</f>
        <v>0</v>
      </c>
      <c r="CS10" s="20">
        <f t="shared" si="507"/>
        <v>0</v>
      </c>
      <c r="CT10" s="21">
        <f t="shared" si="507"/>
        <v>0</v>
      </c>
      <c r="CU10" s="19">
        <v>0.0</v>
      </c>
      <c r="CV10" s="20">
        <f>CU10</f>
        <v>0</v>
      </c>
      <c r="CW10" s="20">
        <v>0.0</v>
      </c>
      <c r="CX10" s="21">
        <f>CW10</f>
        <v>0</v>
      </c>
      <c r="CY10" s="19">
        <v>0.0</v>
      </c>
      <c r="CZ10" s="20">
        <v>0.0</v>
      </c>
      <c r="DA10" s="20">
        <v>0.0</v>
      </c>
      <c r="DB10" s="21">
        <f>DA10</f>
        <v>0</v>
      </c>
      <c r="DC10" s="19">
        <v>0.0</v>
      </c>
      <c r="DD10" s="20">
        <f t="shared" ref="DD10:DF10" si="508">DC10</f>
        <v>0</v>
      </c>
      <c r="DE10" s="20">
        <f t="shared" si="508"/>
        <v>0</v>
      </c>
      <c r="DF10" s="21">
        <f t="shared" si="508"/>
        <v>0</v>
      </c>
      <c r="DG10" s="19">
        <v>0.0</v>
      </c>
      <c r="DH10" s="20">
        <f t="shared" ref="DH10:DJ10" si="509">DG10</f>
        <v>0</v>
      </c>
      <c r="DI10" s="20">
        <f t="shared" si="509"/>
        <v>0</v>
      </c>
      <c r="DJ10" s="21">
        <f t="shared" si="509"/>
        <v>0</v>
      </c>
      <c r="DK10" s="19">
        <v>0.0</v>
      </c>
      <c r="DL10" s="20">
        <f t="shared" ref="DL10:DN10" si="510">DK10</f>
        <v>0</v>
      </c>
      <c r="DM10" s="20">
        <f t="shared" si="510"/>
        <v>0</v>
      </c>
      <c r="DN10" s="21">
        <f t="shared" si="510"/>
        <v>0</v>
      </c>
      <c r="DO10" s="19">
        <v>0.0</v>
      </c>
      <c r="DP10" s="20">
        <f t="shared" ref="DP10:DR10" si="511">DO10</f>
        <v>0</v>
      </c>
      <c r="DQ10" s="20">
        <f t="shared" si="511"/>
        <v>0</v>
      </c>
      <c r="DR10" s="21">
        <f t="shared" si="511"/>
        <v>0</v>
      </c>
      <c r="DS10" s="25">
        <v>-500.0</v>
      </c>
      <c r="DT10" s="26">
        <f t="shared" ref="DT10:DV10" si="512">DS10</f>
        <v>-500</v>
      </c>
      <c r="DU10" s="26">
        <f t="shared" si="512"/>
        <v>-500</v>
      </c>
      <c r="DV10" s="27">
        <f t="shared" si="512"/>
        <v>-500</v>
      </c>
      <c r="DW10" s="19">
        <v>0.0</v>
      </c>
      <c r="DX10" s="20">
        <f t="shared" ref="DX10:DZ10" si="513">DW10</f>
        <v>0</v>
      </c>
      <c r="DY10" s="20">
        <f t="shared" si="513"/>
        <v>0</v>
      </c>
      <c r="DZ10" s="21">
        <f t="shared" si="513"/>
        <v>0</v>
      </c>
      <c r="EA10" s="19" t="s">
        <v>89</v>
      </c>
      <c r="EB10" s="20" t="str">
        <f t="shared" ref="EB10:ED10" si="514">EA10</f>
        <v>$ -</v>
      </c>
      <c r="EC10" s="20" t="str">
        <f t="shared" si="514"/>
        <v>$ -</v>
      </c>
      <c r="ED10" s="21" t="str">
        <f t="shared" si="514"/>
        <v>$ -</v>
      </c>
      <c r="EE10" s="19" t="s">
        <v>89</v>
      </c>
      <c r="EF10" s="20" t="str">
        <f t="shared" ref="EF10:EH10" si="515">EE10</f>
        <v>$ -</v>
      </c>
      <c r="EG10" s="20" t="str">
        <f t="shared" si="515"/>
        <v>$ -</v>
      </c>
      <c r="EH10" s="21" t="str">
        <f t="shared" si="515"/>
        <v>$ -</v>
      </c>
      <c r="EI10" s="19">
        <v>0.0</v>
      </c>
      <c r="EJ10" s="27">
        <f t="shared" ref="EJ10:EK10" si="516">EI10</f>
        <v>0</v>
      </c>
      <c r="EK10" s="27">
        <f t="shared" si="516"/>
        <v>0</v>
      </c>
      <c r="EL10" s="27">
        <f t="shared" si="296"/>
        <v>0</v>
      </c>
      <c r="EM10" s="19" t="s">
        <v>89</v>
      </c>
      <c r="EN10" s="20" t="str">
        <f t="shared" ref="EN10:EP10" si="517">EM10</f>
        <v>$ -</v>
      </c>
      <c r="EO10" s="20" t="str">
        <f t="shared" si="517"/>
        <v>$ -</v>
      </c>
      <c r="EP10" s="21" t="str">
        <f t="shared" si="517"/>
        <v>$ -</v>
      </c>
      <c r="EQ10" s="19" t="s">
        <v>89</v>
      </c>
      <c r="ER10" s="20" t="str">
        <f t="shared" ref="ER10:ET10" si="518">EQ10</f>
        <v>$ -</v>
      </c>
      <c r="ES10" s="20" t="str">
        <f t="shared" si="518"/>
        <v>$ -</v>
      </c>
      <c r="ET10" s="21" t="str">
        <f t="shared" si="518"/>
        <v>$ -</v>
      </c>
      <c r="EU10" s="19">
        <v>0.0</v>
      </c>
      <c r="EV10" s="20">
        <f t="shared" ref="EV10:EX10" si="519">EU10</f>
        <v>0</v>
      </c>
      <c r="EW10" s="20">
        <f t="shared" si="519"/>
        <v>0</v>
      </c>
      <c r="EX10" s="21">
        <f t="shared" si="519"/>
        <v>0</v>
      </c>
      <c r="EY10" s="19">
        <v>0.0</v>
      </c>
      <c r="EZ10" s="20">
        <f t="shared" ref="EZ10:FB10" si="520">EY10</f>
        <v>0</v>
      </c>
      <c r="FA10" s="20">
        <f t="shared" si="520"/>
        <v>0</v>
      </c>
      <c r="FB10" s="21">
        <f t="shared" si="520"/>
        <v>0</v>
      </c>
      <c r="FC10" s="19">
        <v>0.0</v>
      </c>
      <c r="FD10" s="20">
        <f t="shared" ref="FD10:FF10" si="521">FC10</f>
        <v>0</v>
      </c>
      <c r="FE10" s="20">
        <f t="shared" si="521"/>
        <v>0</v>
      </c>
      <c r="FF10" s="21">
        <f t="shared" si="521"/>
        <v>0</v>
      </c>
      <c r="FG10" s="19">
        <v>0.0</v>
      </c>
      <c r="FH10" s="20">
        <f t="shared" ref="FH10:FJ10" si="522">FG10</f>
        <v>0</v>
      </c>
      <c r="FI10" s="20">
        <f t="shared" si="522"/>
        <v>0</v>
      </c>
      <c r="FJ10" s="21">
        <f t="shared" si="522"/>
        <v>0</v>
      </c>
      <c r="FK10" s="19">
        <v>0.0</v>
      </c>
      <c r="FL10" s="20">
        <f t="shared" ref="FL10:FN10" si="523">FK10</f>
        <v>0</v>
      </c>
      <c r="FM10" s="20">
        <f t="shared" si="523"/>
        <v>0</v>
      </c>
      <c r="FN10" s="21">
        <f t="shared" si="523"/>
        <v>0</v>
      </c>
      <c r="FO10" s="19">
        <v>0.0</v>
      </c>
      <c r="FP10" s="20">
        <f t="shared" ref="FP10:FR10" si="524">FO10</f>
        <v>0</v>
      </c>
      <c r="FQ10" s="20">
        <f t="shared" si="524"/>
        <v>0</v>
      </c>
      <c r="FR10" s="21">
        <f t="shared" si="524"/>
        <v>0</v>
      </c>
      <c r="FS10" s="19">
        <v>0.0</v>
      </c>
      <c r="FT10" s="20">
        <f t="shared" ref="FT10:FV10" si="525">FS10</f>
        <v>0</v>
      </c>
      <c r="FU10" s="20">
        <f t="shared" si="525"/>
        <v>0</v>
      </c>
      <c r="FV10" s="21">
        <f t="shared" si="525"/>
        <v>0</v>
      </c>
      <c r="FW10" s="19">
        <v>0.0</v>
      </c>
      <c r="FX10" s="20">
        <f t="shared" ref="FX10:FZ10" si="526">FW10</f>
        <v>0</v>
      </c>
      <c r="FY10" s="20">
        <f t="shared" si="526"/>
        <v>0</v>
      </c>
      <c r="FZ10" s="21">
        <f t="shared" si="526"/>
        <v>0</v>
      </c>
      <c r="GA10" s="19">
        <v>0.0</v>
      </c>
      <c r="GB10" s="20">
        <f t="shared" ref="GB10:GD10" si="527">GA10</f>
        <v>0</v>
      </c>
      <c r="GC10" s="20">
        <f t="shared" si="527"/>
        <v>0</v>
      </c>
      <c r="GD10" s="21">
        <f t="shared" si="527"/>
        <v>0</v>
      </c>
      <c r="GE10" s="19">
        <v>0.0</v>
      </c>
      <c r="GF10" s="20">
        <f t="shared" ref="GF10:GH10" si="528">GE10</f>
        <v>0</v>
      </c>
      <c r="GG10" s="20">
        <f t="shared" si="528"/>
        <v>0</v>
      </c>
      <c r="GH10" s="21">
        <f t="shared" si="528"/>
        <v>0</v>
      </c>
      <c r="GI10" s="19">
        <v>0.0</v>
      </c>
      <c r="GJ10" s="20">
        <f t="shared" ref="GJ10:GL10" si="529">GI10</f>
        <v>0</v>
      </c>
      <c r="GK10" s="20">
        <f t="shared" si="529"/>
        <v>0</v>
      </c>
      <c r="GL10" s="20">
        <f t="shared" si="529"/>
        <v>0</v>
      </c>
      <c r="GM10" s="22">
        <v>0.0</v>
      </c>
      <c r="GN10" s="20">
        <f t="shared" ref="GN10:GP10" si="530">GM10</f>
        <v>0</v>
      </c>
      <c r="GO10" s="20">
        <f t="shared" si="530"/>
        <v>0</v>
      </c>
      <c r="GP10" s="21">
        <f t="shared" si="530"/>
        <v>0</v>
      </c>
      <c r="GQ10" s="19">
        <v>0.0</v>
      </c>
      <c r="GR10" s="20">
        <f t="shared" ref="GR10:GT10" si="531">GQ10</f>
        <v>0</v>
      </c>
      <c r="GS10" s="20">
        <f t="shared" si="531"/>
        <v>0</v>
      </c>
      <c r="GT10" s="21">
        <f t="shared" si="531"/>
        <v>0</v>
      </c>
      <c r="GU10" s="19">
        <v>0.0</v>
      </c>
      <c r="GV10" s="20">
        <f t="shared" ref="GV10:GX10" si="532">GU10</f>
        <v>0</v>
      </c>
      <c r="GW10" s="20">
        <f t="shared" si="532"/>
        <v>0</v>
      </c>
      <c r="GX10" s="21">
        <f t="shared" si="532"/>
        <v>0</v>
      </c>
      <c r="GY10" s="19">
        <v>0.0</v>
      </c>
      <c r="GZ10" s="20">
        <f t="shared" ref="GZ10:HB10" si="533">GY10</f>
        <v>0</v>
      </c>
      <c r="HA10" s="20">
        <f t="shared" si="533"/>
        <v>0</v>
      </c>
      <c r="HB10" s="21">
        <f t="shared" si="533"/>
        <v>0</v>
      </c>
      <c r="HC10" s="19">
        <v>0.0</v>
      </c>
      <c r="HD10" s="20">
        <f t="shared" ref="HD10:HF10" si="534">HC10</f>
        <v>0</v>
      </c>
      <c r="HE10" s="20">
        <f t="shared" si="534"/>
        <v>0</v>
      </c>
      <c r="HF10" s="21">
        <f t="shared" si="534"/>
        <v>0</v>
      </c>
      <c r="HG10" s="19">
        <v>0.0</v>
      </c>
      <c r="HH10" s="20">
        <f t="shared" ref="HH10:HJ10" si="535">HG10</f>
        <v>0</v>
      </c>
      <c r="HI10" s="20">
        <f t="shared" si="535"/>
        <v>0</v>
      </c>
      <c r="HJ10" s="21">
        <f t="shared" si="535"/>
        <v>0</v>
      </c>
      <c r="HK10" s="19">
        <v>0.0</v>
      </c>
      <c r="HL10" s="20">
        <f t="shared" ref="HL10:HN10" si="536">HK10</f>
        <v>0</v>
      </c>
      <c r="HM10" s="20">
        <f t="shared" si="536"/>
        <v>0</v>
      </c>
      <c r="HN10" s="21">
        <f t="shared" si="536"/>
        <v>0</v>
      </c>
      <c r="HO10" s="19">
        <v>0.0</v>
      </c>
      <c r="HP10" s="20">
        <f t="shared" ref="HP10:HR10" si="537">HO10</f>
        <v>0</v>
      </c>
      <c r="HQ10" s="20">
        <f t="shared" si="537"/>
        <v>0</v>
      </c>
      <c r="HR10" s="21">
        <f t="shared" si="537"/>
        <v>0</v>
      </c>
      <c r="HS10" s="19">
        <v>0.0</v>
      </c>
      <c r="HT10" s="20">
        <v>0.0</v>
      </c>
      <c r="HU10" s="20">
        <v>0.0</v>
      </c>
      <c r="HV10" s="21">
        <f>HU10</f>
        <v>0</v>
      </c>
      <c r="HW10" s="19">
        <v>0.0</v>
      </c>
      <c r="HX10" s="20">
        <f t="shared" ref="HX10:HZ10" si="538">HW10</f>
        <v>0</v>
      </c>
      <c r="HY10" s="20">
        <f t="shared" si="538"/>
        <v>0</v>
      </c>
      <c r="HZ10" s="21">
        <f t="shared" si="538"/>
        <v>0</v>
      </c>
      <c r="IA10" s="19">
        <v>0.0</v>
      </c>
      <c r="IB10" s="20">
        <f t="shared" ref="IB10:ID10" si="539">IA10</f>
        <v>0</v>
      </c>
      <c r="IC10" s="20">
        <f t="shared" si="539"/>
        <v>0</v>
      </c>
      <c r="ID10" s="21">
        <f t="shared" si="539"/>
        <v>0</v>
      </c>
      <c r="IE10" s="19">
        <v>0.0</v>
      </c>
      <c r="IF10" s="20">
        <v>0.0</v>
      </c>
      <c r="IG10" s="20">
        <f t="shared" ref="IG10:IH10" si="540">IF10</f>
        <v>0</v>
      </c>
      <c r="IH10" s="21">
        <f t="shared" si="540"/>
        <v>0</v>
      </c>
      <c r="II10" s="25">
        <v>-500.0</v>
      </c>
      <c r="IJ10" s="26">
        <f t="shared" ref="IJ10:IL10" si="541">II10</f>
        <v>-500</v>
      </c>
      <c r="IK10" s="26">
        <f t="shared" si="541"/>
        <v>-500</v>
      </c>
      <c r="IL10" s="27">
        <f t="shared" si="541"/>
        <v>-500</v>
      </c>
      <c r="IM10" s="19">
        <v>0.0</v>
      </c>
      <c r="IN10" s="20">
        <f t="shared" ref="IN10:IP10" si="542">IM10</f>
        <v>0</v>
      </c>
      <c r="IO10" s="20">
        <f t="shared" si="542"/>
        <v>0</v>
      </c>
      <c r="IP10" s="21">
        <f t="shared" si="542"/>
        <v>0</v>
      </c>
      <c r="IQ10" s="19">
        <v>0.0</v>
      </c>
      <c r="IR10" s="20">
        <f t="shared" ref="IR10:IT10" si="543">IQ10</f>
        <v>0</v>
      </c>
      <c r="IS10" s="20">
        <f t="shared" si="543"/>
        <v>0</v>
      </c>
      <c r="IT10" s="21">
        <f t="shared" si="543"/>
        <v>0</v>
      </c>
      <c r="IU10" s="19">
        <v>0.0</v>
      </c>
      <c r="IV10" s="20">
        <f t="shared" ref="IV10:IX10" si="544">IU10</f>
        <v>0</v>
      </c>
      <c r="IW10" s="20">
        <f t="shared" si="544"/>
        <v>0</v>
      </c>
      <c r="IX10" s="21">
        <f t="shared" si="544"/>
        <v>0</v>
      </c>
      <c r="IY10" s="19">
        <v>0.0</v>
      </c>
      <c r="IZ10" s="20">
        <f t="shared" ref="IZ10:JB10" si="545">IY10</f>
        <v>0</v>
      </c>
      <c r="JA10" s="20">
        <f t="shared" si="545"/>
        <v>0</v>
      </c>
      <c r="JB10" s="21">
        <f t="shared" si="545"/>
        <v>0</v>
      </c>
      <c r="JC10" s="19">
        <v>0.0</v>
      </c>
      <c r="JD10" s="20">
        <f t="shared" ref="JD10:JF10" si="546">JC10</f>
        <v>0</v>
      </c>
      <c r="JE10" s="20">
        <f t="shared" si="546"/>
        <v>0</v>
      </c>
      <c r="JF10" s="20">
        <f t="shared" si="546"/>
        <v>0</v>
      </c>
      <c r="JG10" s="25">
        <v>0.0</v>
      </c>
      <c r="JH10" s="20">
        <v>0.0</v>
      </c>
      <c r="JI10" s="20">
        <v>0.0</v>
      </c>
      <c r="JJ10" s="21">
        <f>JI10</f>
        <v>0</v>
      </c>
      <c r="JK10" s="19">
        <v>0.0</v>
      </c>
      <c r="JL10" s="20">
        <f t="shared" ref="JL10:JN10" si="547">JK10</f>
        <v>0</v>
      </c>
      <c r="JM10" s="20">
        <f t="shared" si="547"/>
        <v>0</v>
      </c>
      <c r="JN10" s="21">
        <f t="shared" si="547"/>
        <v>0</v>
      </c>
      <c r="JO10" s="19">
        <v>0.0</v>
      </c>
      <c r="JP10" s="20">
        <f t="shared" ref="JP10:JR10" si="548">JO10</f>
        <v>0</v>
      </c>
      <c r="JQ10" s="20">
        <f t="shared" si="548"/>
        <v>0</v>
      </c>
      <c r="JR10" s="21">
        <f t="shared" si="548"/>
        <v>0</v>
      </c>
      <c r="JS10" s="19">
        <v>0.0</v>
      </c>
      <c r="JT10" s="20">
        <v>0.0</v>
      </c>
      <c r="JU10" s="20">
        <v>0.0</v>
      </c>
      <c r="JV10" s="21">
        <f>JU10</f>
        <v>0</v>
      </c>
      <c r="JW10" s="19">
        <v>0.0</v>
      </c>
      <c r="JX10" s="20">
        <f t="shared" ref="JX10:JZ10" si="549">JW10</f>
        <v>0</v>
      </c>
      <c r="JY10" s="20">
        <f t="shared" si="549"/>
        <v>0</v>
      </c>
      <c r="JZ10" s="21">
        <f t="shared" si="549"/>
        <v>0</v>
      </c>
    </row>
    <row r="11" ht="15.75" customHeight="1">
      <c r="A11" s="29" t="s">
        <v>90</v>
      </c>
      <c r="B11" s="18"/>
      <c r="C11" s="30">
        <f t="shared" ref="C11:JZ11" si="550">SUBTOTAL(9,C5:C10)</f>
        <v>-694000</v>
      </c>
      <c r="D11" s="31">
        <f t="shared" si="550"/>
        <v>-556000</v>
      </c>
      <c r="E11" s="31">
        <f t="shared" si="550"/>
        <v>-554000</v>
      </c>
      <c r="F11" s="31">
        <f t="shared" si="550"/>
        <v>-554000</v>
      </c>
      <c r="G11" s="30">
        <f t="shared" si="550"/>
        <v>-64000</v>
      </c>
      <c r="H11" s="31">
        <f t="shared" si="550"/>
        <v>-64000</v>
      </c>
      <c r="I11" s="31">
        <f t="shared" si="550"/>
        <v>-64000</v>
      </c>
      <c r="J11" s="31">
        <f t="shared" si="550"/>
        <v>-68000</v>
      </c>
      <c r="K11" s="30">
        <f t="shared" si="550"/>
        <v>-3800000</v>
      </c>
      <c r="L11" s="31">
        <f t="shared" si="550"/>
        <v>-3250000</v>
      </c>
      <c r="M11" s="31">
        <f t="shared" si="550"/>
        <v>-3250000</v>
      </c>
      <c r="N11" s="31">
        <f t="shared" si="550"/>
        <v>-3800000</v>
      </c>
      <c r="O11" s="30">
        <f t="shared" si="550"/>
        <v>-39000</v>
      </c>
      <c r="P11" s="31">
        <f t="shared" si="550"/>
        <v>-36000</v>
      </c>
      <c r="Q11" s="31">
        <f t="shared" si="550"/>
        <v>-36000</v>
      </c>
      <c r="R11" s="31">
        <f t="shared" si="550"/>
        <v>-36000</v>
      </c>
      <c r="S11" s="30">
        <f t="shared" si="550"/>
        <v>-68300</v>
      </c>
      <c r="T11" s="31">
        <f t="shared" si="550"/>
        <v>-50000</v>
      </c>
      <c r="U11" s="31">
        <f t="shared" si="550"/>
        <v>-62300</v>
      </c>
      <c r="V11" s="31">
        <f t="shared" si="550"/>
        <v>-62300</v>
      </c>
      <c r="W11" s="30">
        <f t="shared" si="550"/>
        <v>-276013.8</v>
      </c>
      <c r="X11" s="31">
        <f t="shared" si="550"/>
        <v>-244260</v>
      </c>
      <c r="Y11" s="31">
        <f t="shared" si="550"/>
        <v>-244260</v>
      </c>
      <c r="Z11" s="31">
        <f t="shared" si="550"/>
        <v>-244260</v>
      </c>
      <c r="AA11" s="30">
        <f t="shared" si="550"/>
        <v>-226879</v>
      </c>
      <c r="AB11" s="31">
        <f t="shared" si="550"/>
        <v>-326879</v>
      </c>
      <c r="AC11" s="31">
        <f t="shared" si="550"/>
        <v>-326879</v>
      </c>
      <c r="AD11" s="31">
        <f t="shared" si="550"/>
        <v>-326879</v>
      </c>
      <c r="AE11" s="30">
        <f t="shared" si="550"/>
        <v>-65000</v>
      </c>
      <c r="AF11" s="31">
        <f t="shared" si="550"/>
        <v>-65000</v>
      </c>
      <c r="AG11" s="31">
        <f t="shared" si="550"/>
        <v>-65000</v>
      </c>
      <c r="AH11" s="31">
        <f t="shared" si="550"/>
        <v>-65000</v>
      </c>
      <c r="AI11" s="30">
        <f t="shared" si="550"/>
        <v>-19614</v>
      </c>
      <c r="AJ11" s="31">
        <f t="shared" si="550"/>
        <v>0</v>
      </c>
      <c r="AK11" s="31">
        <f t="shared" si="550"/>
        <v>-19457.9</v>
      </c>
      <c r="AL11" s="31">
        <f t="shared" si="550"/>
        <v>-11592.9</v>
      </c>
      <c r="AM11" s="30">
        <f t="shared" si="550"/>
        <v>-603690</v>
      </c>
      <c r="AN11" s="31">
        <f t="shared" si="550"/>
        <v>-603690</v>
      </c>
      <c r="AO11" s="31">
        <f t="shared" si="550"/>
        <v>-603690</v>
      </c>
      <c r="AP11" s="31">
        <f t="shared" si="550"/>
        <v>-603690</v>
      </c>
      <c r="AQ11" s="30">
        <f t="shared" si="550"/>
        <v>-279400</v>
      </c>
      <c r="AR11" s="31">
        <f t="shared" si="550"/>
        <v>-140500</v>
      </c>
      <c r="AS11" s="31">
        <f t="shared" si="550"/>
        <v>-140500</v>
      </c>
      <c r="AT11" s="31">
        <f t="shared" si="550"/>
        <v>-140500</v>
      </c>
      <c r="AU11" s="30">
        <f t="shared" si="550"/>
        <v>-686630</v>
      </c>
      <c r="AV11" s="31">
        <f t="shared" si="550"/>
        <v>-554130</v>
      </c>
      <c r="AW11" s="31">
        <f t="shared" si="550"/>
        <v>-554130</v>
      </c>
      <c r="AX11" s="31">
        <f t="shared" si="550"/>
        <v>-554130</v>
      </c>
      <c r="AY11" s="30">
        <f t="shared" si="550"/>
        <v>-54550</v>
      </c>
      <c r="AZ11" s="31">
        <f t="shared" si="550"/>
        <v>-59905</v>
      </c>
      <c r="BA11" s="31">
        <f t="shared" si="550"/>
        <v>-59905</v>
      </c>
      <c r="BB11" s="31">
        <f t="shared" si="550"/>
        <v>-59905</v>
      </c>
      <c r="BC11" s="30">
        <f t="shared" si="550"/>
        <v>-1085860</v>
      </c>
      <c r="BD11" s="31">
        <f t="shared" si="550"/>
        <v>-1056260</v>
      </c>
      <c r="BE11" s="31">
        <f t="shared" si="550"/>
        <v>-1056260</v>
      </c>
      <c r="BF11" s="31">
        <f t="shared" si="550"/>
        <v>-1056260</v>
      </c>
      <c r="BG11" s="30">
        <f t="shared" si="550"/>
        <v>-120200</v>
      </c>
      <c r="BH11" s="31">
        <f t="shared" si="550"/>
        <v>0</v>
      </c>
      <c r="BI11" s="31">
        <f t="shared" si="550"/>
        <v>0</v>
      </c>
      <c r="BJ11" s="31">
        <f t="shared" si="550"/>
        <v>-22000</v>
      </c>
      <c r="BK11" s="30">
        <f t="shared" si="550"/>
        <v>-1559320</v>
      </c>
      <c r="BL11" s="31">
        <f t="shared" si="550"/>
        <v>-1559320</v>
      </c>
      <c r="BM11" s="31">
        <f t="shared" si="550"/>
        <v>-1559320</v>
      </c>
      <c r="BN11" s="31">
        <f t="shared" si="550"/>
        <v>-1559320</v>
      </c>
      <c r="BO11" s="30">
        <f t="shared" si="550"/>
        <v>-243120</v>
      </c>
      <c r="BP11" s="31">
        <f t="shared" si="550"/>
        <v>-243120</v>
      </c>
      <c r="BQ11" s="31">
        <f t="shared" si="550"/>
        <v>-243120</v>
      </c>
      <c r="BR11" s="31">
        <f t="shared" si="550"/>
        <v>-243120</v>
      </c>
      <c r="BS11" s="30">
        <f t="shared" si="550"/>
        <v>-82310</v>
      </c>
      <c r="BT11" s="31">
        <f t="shared" si="550"/>
        <v>-82310</v>
      </c>
      <c r="BU11" s="31">
        <f t="shared" si="550"/>
        <v>-82310</v>
      </c>
      <c r="BV11" s="31">
        <f t="shared" si="550"/>
        <v>-82310</v>
      </c>
      <c r="BW11" s="30">
        <f t="shared" si="550"/>
        <v>-44520</v>
      </c>
      <c r="BX11" s="31">
        <f t="shared" si="550"/>
        <v>-44520</v>
      </c>
      <c r="BY11" s="31">
        <f t="shared" si="550"/>
        <v>-44520</v>
      </c>
      <c r="BZ11" s="31">
        <f t="shared" si="550"/>
        <v>-44520</v>
      </c>
      <c r="CA11" s="30">
        <f t="shared" si="550"/>
        <v>-204060</v>
      </c>
      <c r="CB11" s="31">
        <f t="shared" si="550"/>
        <v>-204060</v>
      </c>
      <c r="CC11" s="31">
        <f t="shared" si="550"/>
        <v>-204060</v>
      </c>
      <c r="CD11" s="31">
        <f t="shared" si="550"/>
        <v>-204060</v>
      </c>
      <c r="CE11" s="30">
        <f t="shared" si="550"/>
        <v>-364932.85</v>
      </c>
      <c r="CF11" s="31">
        <f t="shared" si="550"/>
        <v>-311460</v>
      </c>
      <c r="CG11" s="31">
        <f t="shared" si="550"/>
        <v>-311460</v>
      </c>
      <c r="CH11" s="31">
        <f t="shared" si="550"/>
        <v>-311460</v>
      </c>
      <c r="CI11" s="30">
        <f t="shared" si="550"/>
        <v>-221910</v>
      </c>
      <c r="CJ11" s="31">
        <f t="shared" si="550"/>
        <v>-221910</v>
      </c>
      <c r="CK11" s="31">
        <f t="shared" si="550"/>
        <v>-221910</v>
      </c>
      <c r="CL11" s="31">
        <f t="shared" si="550"/>
        <v>-221910</v>
      </c>
      <c r="CM11" s="30">
        <f t="shared" si="550"/>
        <v>-44520</v>
      </c>
      <c r="CN11" s="31">
        <f t="shared" si="550"/>
        <v>-44520</v>
      </c>
      <c r="CO11" s="31">
        <f t="shared" si="550"/>
        <v>-44520</v>
      </c>
      <c r="CP11" s="31">
        <f t="shared" si="550"/>
        <v>-44520</v>
      </c>
      <c r="CQ11" s="30">
        <f t="shared" si="550"/>
        <v>-218710</v>
      </c>
      <c r="CR11" s="31">
        <f t="shared" si="550"/>
        <v>-233710</v>
      </c>
      <c r="CS11" s="31">
        <f t="shared" si="550"/>
        <v>-233710</v>
      </c>
      <c r="CT11" s="31">
        <f t="shared" si="550"/>
        <v>-233710</v>
      </c>
      <c r="CU11" s="30">
        <f t="shared" si="550"/>
        <v>-95018.4</v>
      </c>
      <c r="CV11" s="31">
        <f t="shared" si="550"/>
        <v>-49680</v>
      </c>
      <c r="CW11" s="31">
        <f t="shared" si="550"/>
        <v>-49680</v>
      </c>
      <c r="CX11" s="31">
        <f t="shared" si="550"/>
        <v>-49680</v>
      </c>
      <c r="CY11" s="30">
        <f t="shared" si="550"/>
        <v>-742160</v>
      </c>
      <c r="CZ11" s="31">
        <f t="shared" si="550"/>
        <v>-741460</v>
      </c>
      <c r="DA11" s="31">
        <f t="shared" si="550"/>
        <v>-741460</v>
      </c>
      <c r="DB11" s="31">
        <f t="shared" si="550"/>
        <v>-741460</v>
      </c>
      <c r="DC11" s="30">
        <f t="shared" si="550"/>
        <v>-219360</v>
      </c>
      <c r="DD11" s="31">
        <f t="shared" si="550"/>
        <v>-219360</v>
      </c>
      <c r="DE11" s="31">
        <f t="shared" si="550"/>
        <v>-219360</v>
      </c>
      <c r="DF11" s="31">
        <f t="shared" si="550"/>
        <v>-219360</v>
      </c>
      <c r="DG11" s="30">
        <f t="shared" si="550"/>
        <v>-181890</v>
      </c>
      <c r="DH11" s="31">
        <f t="shared" si="550"/>
        <v>-181890</v>
      </c>
      <c r="DI11" s="31">
        <f t="shared" si="550"/>
        <v>-181890</v>
      </c>
      <c r="DJ11" s="31">
        <f t="shared" si="550"/>
        <v>-181890</v>
      </c>
      <c r="DK11" s="30">
        <f t="shared" si="550"/>
        <v>-198300</v>
      </c>
      <c r="DL11" s="31">
        <f t="shared" si="550"/>
        <v>-198300</v>
      </c>
      <c r="DM11" s="31">
        <f t="shared" si="550"/>
        <v>-198300</v>
      </c>
      <c r="DN11" s="31">
        <f t="shared" si="550"/>
        <v>-198300</v>
      </c>
      <c r="DO11" s="30">
        <f t="shared" si="550"/>
        <v>-259740</v>
      </c>
      <c r="DP11" s="31">
        <f t="shared" si="550"/>
        <v>-259740</v>
      </c>
      <c r="DQ11" s="31">
        <f t="shared" si="550"/>
        <v>-259740</v>
      </c>
      <c r="DR11" s="31">
        <f t="shared" si="550"/>
        <v>-259740</v>
      </c>
      <c r="DS11" s="30">
        <f t="shared" si="550"/>
        <v>-137090</v>
      </c>
      <c r="DT11" s="31">
        <f t="shared" si="550"/>
        <v>-137090</v>
      </c>
      <c r="DU11" s="31">
        <f t="shared" si="550"/>
        <v>-137090</v>
      </c>
      <c r="DV11" s="31">
        <f t="shared" si="550"/>
        <v>-137090</v>
      </c>
      <c r="DW11" s="30">
        <f t="shared" si="550"/>
        <v>-57679.8</v>
      </c>
      <c r="DX11" s="31">
        <f t="shared" si="550"/>
        <v>-45210</v>
      </c>
      <c r="DY11" s="31">
        <f t="shared" si="550"/>
        <v>-45210</v>
      </c>
      <c r="DZ11" s="31">
        <f t="shared" si="550"/>
        <v>-45210</v>
      </c>
      <c r="EA11" s="30">
        <f t="shared" si="550"/>
        <v>-783098</v>
      </c>
      <c r="EB11" s="31">
        <f t="shared" si="550"/>
        <v>-686780</v>
      </c>
      <c r="EC11" s="31">
        <f t="shared" si="550"/>
        <v>-686780</v>
      </c>
      <c r="ED11" s="31">
        <f t="shared" si="550"/>
        <v>-686780</v>
      </c>
      <c r="EE11" s="30">
        <f t="shared" si="550"/>
        <v>-116220</v>
      </c>
      <c r="EF11" s="31">
        <f t="shared" si="550"/>
        <v>-116220</v>
      </c>
      <c r="EG11" s="31">
        <f t="shared" si="550"/>
        <v>-116220</v>
      </c>
      <c r="EH11" s="31">
        <f t="shared" si="550"/>
        <v>-116220</v>
      </c>
      <c r="EI11" s="32">
        <f t="shared" si="550"/>
        <v>-37440</v>
      </c>
      <c r="EJ11" s="31">
        <f t="shared" si="550"/>
        <v>-37440</v>
      </c>
      <c r="EK11" s="31">
        <f t="shared" si="550"/>
        <v>-37440</v>
      </c>
      <c r="EL11" s="31">
        <f t="shared" si="550"/>
        <v>-37440</v>
      </c>
      <c r="EM11" s="30">
        <f t="shared" si="550"/>
        <v>-37440</v>
      </c>
      <c r="EN11" s="31">
        <f t="shared" si="550"/>
        <v>-37440</v>
      </c>
      <c r="EO11" s="31">
        <f t="shared" si="550"/>
        <v>-37440</v>
      </c>
      <c r="EP11" s="31">
        <f t="shared" si="550"/>
        <v>-37440</v>
      </c>
      <c r="EQ11" s="30">
        <f t="shared" si="550"/>
        <v>-147420</v>
      </c>
      <c r="ER11" s="31">
        <f t="shared" si="550"/>
        <v>-147420</v>
      </c>
      <c r="ES11" s="31">
        <f t="shared" si="550"/>
        <v>-147420</v>
      </c>
      <c r="ET11" s="31">
        <f t="shared" si="550"/>
        <v>-147420</v>
      </c>
      <c r="EU11" s="30">
        <f t="shared" si="550"/>
        <v>-54800</v>
      </c>
      <c r="EV11" s="31">
        <f t="shared" si="550"/>
        <v>0</v>
      </c>
      <c r="EW11" s="31">
        <f t="shared" si="550"/>
        <v>-53240</v>
      </c>
      <c r="EX11" s="31">
        <f t="shared" si="550"/>
        <v>-53240</v>
      </c>
      <c r="EY11" s="30">
        <f t="shared" si="550"/>
        <v>-30100</v>
      </c>
      <c r="EZ11" s="31">
        <f t="shared" si="550"/>
        <v>-23210</v>
      </c>
      <c r="FA11" s="31">
        <f t="shared" si="550"/>
        <v>-26510</v>
      </c>
      <c r="FB11" s="31">
        <f t="shared" si="550"/>
        <v>-26510</v>
      </c>
      <c r="FC11" s="30">
        <f t="shared" si="550"/>
        <v>-70000</v>
      </c>
      <c r="FD11" s="31">
        <f t="shared" si="550"/>
        <v>-77000</v>
      </c>
      <c r="FE11" s="31">
        <f t="shared" si="550"/>
        <v>-77000</v>
      </c>
      <c r="FF11" s="31">
        <f t="shared" si="550"/>
        <v>-77000</v>
      </c>
      <c r="FG11" s="30">
        <f t="shared" si="550"/>
        <v>-43300</v>
      </c>
      <c r="FH11" s="31">
        <f t="shared" si="550"/>
        <v>-47630</v>
      </c>
      <c r="FI11" s="31">
        <f t="shared" si="550"/>
        <v>-49610</v>
      </c>
      <c r="FJ11" s="31">
        <f t="shared" si="550"/>
        <v>-49610</v>
      </c>
      <c r="FK11" s="30">
        <f t="shared" si="550"/>
        <v>-13600</v>
      </c>
      <c r="FL11" s="31">
        <f t="shared" si="550"/>
        <v>-14960</v>
      </c>
      <c r="FM11" s="31">
        <f t="shared" si="550"/>
        <v>-14960</v>
      </c>
      <c r="FN11" s="31">
        <f t="shared" si="550"/>
        <v>-14960</v>
      </c>
      <c r="FO11" s="30">
        <f t="shared" si="550"/>
        <v>-20800</v>
      </c>
      <c r="FP11" s="31">
        <f t="shared" si="550"/>
        <v>-11880</v>
      </c>
      <c r="FQ11" s="31">
        <f t="shared" si="550"/>
        <v>-12375</v>
      </c>
      <c r="FR11" s="31">
        <f t="shared" si="550"/>
        <v>-12375</v>
      </c>
      <c r="FS11" s="30">
        <f t="shared" si="550"/>
        <v>-124800</v>
      </c>
      <c r="FT11" s="31">
        <f t="shared" si="550"/>
        <v>-33000</v>
      </c>
      <c r="FU11" s="31">
        <f t="shared" si="550"/>
        <v>-99000</v>
      </c>
      <c r="FV11" s="31">
        <f t="shared" si="550"/>
        <v>-126280</v>
      </c>
      <c r="FW11" s="30">
        <f t="shared" si="550"/>
        <v>-34700</v>
      </c>
      <c r="FX11" s="31">
        <f t="shared" si="550"/>
        <v>-27500</v>
      </c>
      <c r="FY11" s="31">
        <f t="shared" si="550"/>
        <v>-32791</v>
      </c>
      <c r="FZ11" s="31">
        <f t="shared" si="550"/>
        <v>-32791</v>
      </c>
      <c r="GA11" s="30">
        <f t="shared" si="550"/>
        <v>-49680</v>
      </c>
      <c r="GB11" s="31">
        <f t="shared" si="550"/>
        <v>-49680</v>
      </c>
      <c r="GC11" s="31">
        <f t="shared" si="550"/>
        <v>-49680</v>
      </c>
      <c r="GD11" s="31">
        <f t="shared" si="550"/>
        <v>-49680</v>
      </c>
      <c r="GE11" s="30">
        <f t="shared" si="550"/>
        <v>-16000</v>
      </c>
      <c r="GF11" s="31">
        <f t="shared" si="550"/>
        <v>-12925</v>
      </c>
      <c r="GG11" s="31">
        <f t="shared" si="550"/>
        <v>-17600</v>
      </c>
      <c r="GH11" s="31">
        <f t="shared" si="550"/>
        <v>-17600</v>
      </c>
      <c r="GI11" s="30">
        <f t="shared" si="550"/>
        <v>-83350</v>
      </c>
      <c r="GJ11" s="31">
        <f t="shared" si="550"/>
        <v>-91685</v>
      </c>
      <c r="GK11" s="31">
        <f t="shared" si="550"/>
        <v>-91685</v>
      </c>
      <c r="GL11" s="31">
        <f t="shared" si="550"/>
        <v>-91685</v>
      </c>
      <c r="GM11" s="32">
        <f t="shared" si="550"/>
        <v>0</v>
      </c>
      <c r="GN11" s="31">
        <f t="shared" si="550"/>
        <v>0</v>
      </c>
      <c r="GO11" s="31">
        <f t="shared" si="550"/>
        <v>0</v>
      </c>
      <c r="GP11" s="31">
        <f t="shared" si="550"/>
        <v>0</v>
      </c>
      <c r="GQ11" s="31">
        <f t="shared" si="550"/>
        <v>-20000</v>
      </c>
      <c r="GR11" s="31">
        <f t="shared" si="550"/>
        <v>-22000</v>
      </c>
      <c r="GS11" s="31">
        <f t="shared" si="550"/>
        <v>-22000</v>
      </c>
      <c r="GT11" s="31">
        <f t="shared" si="550"/>
        <v>-27500</v>
      </c>
      <c r="GU11" s="31">
        <f t="shared" si="550"/>
        <v>-17200</v>
      </c>
      <c r="GV11" s="31">
        <f t="shared" si="550"/>
        <v>0</v>
      </c>
      <c r="GW11" s="31">
        <f t="shared" si="550"/>
        <v>-20273</v>
      </c>
      <c r="GX11" s="31">
        <f t="shared" si="550"/>
        <v>0</v>
      </c>
      <c r="GY11" s="31">
        <f t="shared" si="550"/>
        <v>-49680</v>
      </c>
      <c r="GZ11" s="31">
        <f t="shared" si="550"/>
        <v>-49680</v>
      </c>
      <c r="HA11" s="31">
        <f t="shared" si="550"/>
        <v>-49680</v>
      </c>
      <c r="HB11" s="31">
        <f t="shared" si="550"/>
        <v>-49680</v>
      </c>
      <c r="HC11" s="31">
        <f t="shared" si="550"/>
        <v>-69500</v>
      </c>
      <c r="HD11" s="31">
        <f t="shared" si="550"/>
        <v>-60500</v>
      </c>
      <c r="HE11" s="31">
        <f t="shared" si="550"/>
        <v>-60500</v>
      </c>
      <c r="HF11" s="31">
        <f t="shared" si="550"/>
        <v>-60500</v>
      </c>
      <c r="HG11" s="31">
        <f t="shared" si="550"/>
        <v>-61159.4</v>
      </c>
      <c r="HH11" s="31">
        <f t="shared" si="550"/>
        <v>-12275.34</v>
      </c>
      <c r="HI11" s="31">
        <f t="shared" si="550"/>
        <v>-12275.34</v>
      </c>
      <c r="HJ11" s="31">
        <f t="shared" si="550"/>
        <v>-12275.34</v>
      </c>
      <c r="HK11" s="30">
        <f t="shared" si="550"/>
        <v>-9400</v>
      </c>
      <c r="HL11" s="31">
        <f t="shared" si="550"/>
        <v>-10340</v>
      </c>
      <c r="HM11" s="31">
        <f t="shared" si="550"/>
        <v>-10340</v>
      </c>
      <c r="HN11" s="31">
        <f t="shared" si="550"/>
        <v>-10340</v>
      </c>
      <c r="HO11" s="30">
        <f t="shared" si="550"/>
        <v>-84175</v>
      </c>
      <c r="HP11" s="31">
        <f t="shared" si="550"/>
        <v>-33000</v>
      </c>
      <c r="HQ11" s="31">
        <f t="shared" si="550"/>
        <v>-62282</v>
      </c>
      <c r="HR11" s="31">
        <f t="shared" si="550"/>
        <v>-62282</v>
      </c>
      <c r="HS11" s="30">
        <f t="shared" si="550"/>
        <v>-212050</v>
      </c>
      <c r="HT11" s="31">
        <f t="shared" si="550"/>
        <v>-233255</v>
      </c>
      <c r="HU11" s="31">
        <f t="shared" si="550"/>
        <v>-233255</v>
      </c>
      <c r="HV11" s="31">
        <f t="shared" si="550"/>
        <v>-233255</v>
      </c>
      <c r="HW11" s="30">
        <f t="shared" si="550"/>
        <v>-15000</v>
      </c>
      <c r="HX11" s="31">
        <f t="shared" si="550"/>
        <v>-14520</v>
      </c>
      <c r="HY11" s="31">
        <f t="shared" si="550"/>
        <v>-7260</v>
      </c>
      <c r="HZ11" s="31">
        <f t="shared" si="550"/>
        <v>-14520</v>
      </c>
      <c r="IA11" s="30">
        <f t="shared" si="550"/>
        <v>-9200</v>
      </c>
      <c r="IB11" s="31">
        <f t="shared" si="550"/>
        <v>-8030</v>
      </c>
      <c r="IC11" s="31">
        <f t="shared" si="550"/>
        <v>-6490</v>
      </c>
      <c r="ID11" s="31">
        <f t="shared" si="550"/>
        <v>-14190</v>
      </c>
      <c r="IE11" s="30">
        <f t="shared" si="550"/>
        <v>-5400</v>
      </c>
      <c r="IF11" s="31">
        <f t="shared" si="550"/>
        <v>-5940</v>
      </c>
      <c r="IG11" s="31">
        <f t="shared" si="550"/>
        <v>-6640</v>
      </c>
      <c r="IH11" s="31">
        <f t="shared" si="550"/>
        <v>-11550</v>
      </c>
      <c r="II11" s="30">
        <f t="shared" si="550"/>
        <v>-28000</v>
      </c>
      <c r="IJ11" s="31">
        <f t="shared" si="550"/>
        <v>-30750</v>
      </c>
      <c r="IK11" s="31">
        <f t="shared" si="550"/>
        <v>-30750</v>
      </c>
      <c r="IL11" s="31">
        <f t="shared" si="550"/>
        <v>-30750</v>
      </c>
      <c r="IM11" s="30">
        <f t="shared" si="550"/>
        <v>-36600</v>
      </c>
      <c r="IN11" s="31">
        <f t="shared" si="550"/>
        <v>-40260</v>
      </c>
      <c r="IO11" s="31">
        <f t="shared" si="550"/>
        <v>-38940</v>
      </c>
      <c r="IP11" s="31">
        <f t="shared" si="550"/>
        <v>-38940</v>
      </c>
      <c r="IQ11" s="30">
        <f t="shared" si="550"/>
        <v>-54000</v>
      </c>
      <c r="IR11" s="31">
        <f t="shared" si="550"/>
        <v>-59400</v>
      </c>
      <c r="IS11" s="31">
        <f t="shared" si="550"/>
        <v>-58980</v>
      </c>
      <c r="IT11" s="31">
        <f t="shared" si="550"/>
        <v>-58980</v>
      </c>
      <c r="IU11" s="30">
        <f t="shared" si="550"/>
        <v>-35700</v>
      </c>
      <c r="IV11" s="31">
        <f t="shared" si="550"/>
        <v>-29700</v>
      </c>
      <c r="IW11" s="31">
        <f t="shared" si="550"/>
        <v>-25300</v>
      </c>
      <c r="IX11" s="31">
        <f t="shared" si="550"/>
        <v>-22770</v>
      </c>
      <c r="IY11" s="30">
        <f t="shared" si="550"/>
        <v>-40000</v>
      </c>
      <c r="IZ11" s="31">
        <f t="shared" si="550"/>
        <v>-44000</v>
      </c>
      <c r="JA11" s="31">
        <f t="shared" si="550"/>
        <v>-44000</v>
      </c>
      <c r="JB11" s="31">
        <f t="shared" si="550"/>
        <v>-44000</v>
      </c>
      <c r="JC11" s="30">
        <f t="shared" si="550"/>
        <v>-100000</v>
      </c>
      <c r="JD11" s="31">
        <f t="shared" si="550"/>
        <v>-110000</v>
      </c>
      <c r="JE11" s="31">
        <f t="shared" si="550"/>
        <v>-107090</v>
      </c>
      <c r="JF11" s="31">
        <f t="shared" si="550"/>
        <v>-106799</v>
      </c>
      <c r="JG11" s="30">
        <f t="shared" si="550"/>
        <v>-50000</v>
      </c>
      <c r="JH11" s="31">
        <f t="shared" si="550"/>
        <v>-55000</v>
      </c>
      <c r="JI11" s="31">
        <f t="shared" si="550"/>
        <v>-55000</v>
      </c>
      <c r="JJ11" s="31">
        <f t="shared" si="550"/>
        <v>-55000</v>
      </c>
      <c r="JK11" s="30">
        <f t="shared" si="550"/>
        <v>-25000</v>
      </c>
      <c r="JL11" s="31">
        <f t="shared" si="550"/>
        <v>-22000</v>
      </c>
      <c r="JM11" s="31">
        <f t="shared" si="550"/>
        <v>-22000</v>
      </c>
      <c r="JN11" s="31">
        <f t="shared" si="550"/>
        <v>-22000</v>
      </c>
      <c r="JO11" s="30">
        <f t="shared" si="550"/>
        <v>-9450</v>
      </c>
      <c r="JP11" s="31">
        <f t="shared" si="550"/>
        <v>0</v>
      </c>
      <c r="JQ11" s="31">
        <f t="shared" si="550"/>
        <v>-10395</v>
      </c>
      <c r="JR11" s="31">
        <f t="shared" si="550"/>
        <v>-10395</v>
      </c>
      <c r="JS11" s="30">
        <f t="shared" si="550"/>
        <v>-1000</v>
      </c>
      <c r="JT11" s="31">
        <f t="shared" si="550"/>
        <v>-1100</v>
      </c>
      <c r="JU11" s="31">
        <f t="shared" si="550"/>
        <v>-1100</v>
      </c>
      <c r="JV11" s="31">
        <f t="shared" si="550"/>
        <v>-1100</v>
      </c>
      <c r="JW11" s="30">
        <f t="shared" si="550"/>
        <v>-53475</v>
      </c>
      <c r="JX11" s="31">
        <f t="shared" si="550"/>
        <v>-58822.5</v>
      </c>
      <c r="JY11" s="31">
        <f t="shared" si="550"/>
        <v>-58822.5</v>
      </c>
      <c r="JZ11" s="31">
        <f t="shared" si="550"/>
        <v>-58822.5</v>
      </c>
    </row>
    <row r="12" ht="15.75" customHeight="1">
      <c r="A12" s="24"/>
      <c r="B12" s="18"/>
      <c r="C12" s="19"/>
      <c r="D12" s="20"/>
      <c r="E12" s="20" t="str">
        <f t="shared" ref="E12:F12" si="551">D12</f>
        <v/>
      </c>
      <c r="F12" s="21" t="str">
        <f t="shared" si="551"/>
        <v/>
      </c>
      <c r="G12" s="19"/>
      <c r="H12" s="20"/>
      <c r="I12" s="20" t="str">
        <f t="shared" ref="I12:J12" si="552">H12</f>
        <v/>
      </c>
      <c r="J12" s="21" t="str">
        <f t="shared" si="552"/>
        <v/>
      </c>
      <c r="K12" s="19"/>
      <c r="L12" s="20"/>
      <c r="M12" s="20" t="str">
        <f t="shared" ref="M12:N12" si="553">L12</f>
        <v/>
      </c>
      <c r="N12" s="21" t="str">
        <f t="shared" si="553"/>
        <v/>
      </c>
      <c r="O12" s="19"/>
      <c r="P12" s="20"/>
      <c r="Q12" s="20" t="str">
        <f t="shared" ref="Q12:R12" si="554">P12</f>
        <v/>
      </c>
      <c r="R12" s="21" t="str">
        <f t="shared" si="554"/>
        <v/>
      </c>
      <c r="S12" s="19"/>
      <c r="T12" s="20"/>
      <c r="U12" s="20" t="str">
        <f t="shared" ref="U12:V12" si="555">T12</f>
        <v/>
      </c>
      <c r="V12" s="21" t="str">
        <f t="shared" si="555"/>
        <v/>
      </c>
      <c r="W12" s="19"/>
      <c r="X12" s="20"/>
      <c r="Y12" s="20" t="str">
        <f t="shared" ref="Y12:Z12" si="556">X12</f>
        <v/>
      </c>
      <c r="Z12" s="21" t="str">
        <f t="shared" si="556"/>
        <v/>
      </c>
      <c r="AA12" s="19"/>
      <c r="AB12" s="20"/>
      <c r="AC12" s="20" t="str">
        <f t="shared" ref="AC12:AD12" si="557">AB12</f>
        <v/>
      </c>
      <c r="AD12" s="21" t="str">
        <f t="shared" si="557"/>
        <v/>
      </c>
      <c r="AE12" s="19"/>
      <c r="AF12" s="20"/>
      <c r="AG12" s="20" t="str">
        <f t="shared" ref="AG12:AH12" si="558">AF12</f>
        <v/>
      </c>
      <c r="AH12" s="21" t="str">
        <f t="shared" si="558"/>
        <v/>
      </c>
      <c r="AI12" s="19"/>
      <c r="AJ12" s="20"/>
      <c r="AK12" s="20" t="str">
        <f t="shared" ref="AK12:AL12" si="559">AJ12</f>
        <v/>
      </c>
      <c r="AL12" s="21" t="str">
        <f t="shared" si="559"/>
        <v/>
      </c>
      <c r="AM12" s="19"/>
      <c r="AN12" s="20"/>
      <c r="AO12" s="20" t="str">
        <f t="shared" ref="AO12:AP12" si="560">AN12</f>
        <v/>
      </c>
      <c r="AP12" s="21" t="str">
        <f t="shared" si="560"/>
        <v/>
      </c>
      <c r="AQ12" s="19"/>
      <c r="AR12" s="20"/>
      <c r="AS12" s="20" t="str">
        <f t="shared" ref="AS12:AT12" si="561">AR12</f>
        <v/>
      </c>
      <c r="AT12" s="21" t="str">
        <f t="shared" si="561"/>
        <v/>
      </c>
      <c r="AU12" s="19"/>
      <c r="AV12" s="20"/>
      <c r="AW12" s="20" t="str">
        <f t="shared" ref="AW12:AX12" si="562">AV12</f>
        <v/>
      </c>
      <c r="AX12" s="21" t="str">
        <f t="shared" si="562"/>
        <v/>
      </c>
      <c r="AY12" s="19"/>
      <c r="AZ12" s="20"/>
      <c r="BA12" s="20" t="str">
        <f t="shared" ref="BA12:BB12" si="563">AZ12</f>
        <v/>
      </c>
      <c r="BB12" s="21" t="str">
        <f t="shared" si="563"/>
        <v/>
      </c>
      <c r="BC12" s="19"/>
      <c r="BD12" s="20"/>
      <c r="BE12" s="20" t="str">
        <f t="shared" ref="BE12:BF12" si="564">BD12</f>
        <v/>
      </c>
      <c r="BF12" s="21" t="str">
        <f t="shared" si="564"/>
        <v/>
      </c>
      <c r="BG12" s="19"/>
      <c r="BH12" s="20"/>
      <c r="BI12" s="20" t="str">
        <f t="shared" ref="BI12:BJ12" si="565">BH12</f>
        <v/>
      </c>
      <c r="BJ12" s="21" t="str">
        <f t="shared" si="565"/>
        <v/>
      </c>
      <c r="BK12" s="19"/>
      <c r="BL12" s="20"/>
      <c r="BM12" s="20" t="str">
        <f t="shared" ref="BM12:BN12" si="566">BL12</f>
        <v/>
      </c>
      <c r="BN12" s="21" t="str">
        <f t="shared" si="566"/>
        <v/>
      </c>
      <c r="BO12" s="19"/>
      <c r="BP12" s="20"/>
      <c r="BQ12" s="20" t="str">
        <f t="shared" ref="BQ12:BR12" si="567">BP12</f>
        <v/>
      </c>
      <c r="BR12" s="21" t="str">
        <f t="shared" si="567"/>
        <v/>
      </c>
      <c r="BS12" s="19"/>
      <c r="BT12" s="20"/>
      <c r="BU12" s="20" t="str">
        <f t="shared" ref="BU12:BV12" si="568">BT12</f>
        <v/>
      </c>
      <c r="BV12" s="21" t="str">
        <f t="shared" si="568"/>
        <v/>
      </c>
      <c r="BW12" s="19"/>
      <c r="BX12" s="20"/>
      <c r="BY12" s="20" t="str">
        <f t="shared" ref="BY12:BZ12" si="569">BX12</f>
        <v/>
      </c>
      <c r="BZ12" s="21" t="str">
        <f t="shared" si="569"/>
        <v/>
      </c>
      <c r="CA12" s="19"/>
      <c r="CB12" s="20"/>
      <c r="CC12" s="20" t="str">
        <f t="shared" ref="CC12:CD12" si="570">CB12</f>
        <v/>
      </c>
      <c r="CD12" s="21" t="str">
        <f t="shared" si="570"/>
        <v/>
      </c>
      <c r="CE12" s="19"/>
      <c r="CF12" s="20"/>
      <c r="CG12" s="20" t="str">
        <f t="shared" ref="CG12:CH12" si="571">CF12</f>
        <v/>
      </c>
      <c r="CH12" s="21" t="str">
        <f t="shared" si="571"/>
        <v/>
      </c>
      <c r="CI12" s="19"/>
      <c r="CJ12" s="20"/>
      <c r="CK12" s="20" t="str">
        <f t="shared" ref="CK12:CL12" si="572">CJ12</f>
        <v/>
      </c>
      <c r="CL12" s="21" t="str">
        <f t="shared" si="572"/>
        <v/>
      </c>
      <c r="CM12" s="19"/>
      <c r="CN12" s="20"/>
      <c r="CO12" s="20" t="str">
        <f t="shared" ref="CO12:CP12" si="573">CN12</f>
        <v/>
      </c>
      <c r="CP12" s="21" t="str">
        <f t="shared" si="573"/>
        <v/>
      </c>
      <c r="CQ12" s="19"/>
      <c r="CR12" s="20"/>
      <c r="CS12" s="20" t="str">
        <f t="shared" ref="CS12:CT12" si="574">CR12</f>
        <v/>
      </c>
      <c r="CT12" s="21" t="str">
        <f t="shared" si="574"/>
        <v/>
      </c>
      <c r="CU12" s="19"/>
      <c r="CV12" s="20"/>
      <c r="CW12" s="20" t="str">
        <f t="shared" ref="CW12:CX12" si="575">CV12</f>
        <v/>
      </c>
      <c r="CX12" s="21" t="str">
        <f t="shared" si="575"/>
        <v/>
      </c>
      <c r="CY12" s="19"/>
      <c r="CZ12" s="20"/>
      <c r="DA12" s="20" t="str">
        <f t="shared" ref="DA12:DB12" si="576">CZ12</f>
        <v/>
      </c>
      <c r="DB12" s="21" t="str">
        <f t="shared" si="576"/>
        <v/>
      </c>
      <c r="DC12" s="19"/>
      <c r="DD12" s="20"/>
      <c r="DE12" s="20" t="str">
        <f t="shared" ref="DE12:DF12" si="577">DD12</f>
        <v/>
      </c>
      <c r="DF12" s="21" t="str">
        <f t="shared" si="577"/>
        <v/>
      </c>
      <c r="DG12" s="19"/>
      <c r="DH12" s="20"/>
      <c r="DI12" s="20" t="str">
        <f t="shared" ref="DI12:DJ12" si="578">DH12</f>
        <v/>
      </c>
      <c r="DJ12" s="21" t="str">
        <f t="shared" si="578"/>
        <v/>
      </c>
      <c r="DK12" s="19"/>
      <c r="DL12" s="20"/>
      <c r="DM12" s="20" t="str">
        <f t="shared" ref="DM12:DN12" si="579">DL12</f>
        <v/>
      </c>
      <c r="DN12" s="21" t="str">
        <f t="shared" si="579"/>
        <v/>
      </c>
      <c r="DO12" s="19"/>
      <c r="DP12" s="20"/>
      <c r="DQ12" s="20" t="str">
        <f t="shared" ref="DQ12:DR12" si="580">DP12</f>
        <v/>
      </c>
      <c r="DR12" s="21" t="str">
        <f t="shared" si="580"/>
        <v/>
      </c>
      <c r="DS12" s="19"/>
      <c r="DT12" s="20"/>
      <c r="DU12" s="20" t="str">
        <f t="shared" ref="DU12:DV12" si="581">DT12</f>
        <v/>
      </c>
      <c r="DV12" s="21" t="str">
        <f t="shared" si="581"/>
        <v/>
      </c>
      <c r="DW12" s="19"/>
      <c r="DX12" s="20"/>
      <c r="DY12" s="20" t="str">
        <f t="shared" ref="DY12:DZ12" si="582">DX12</f>
        <v/>
      </c>
      <c r="DZ12" s="21" t="str">
        <f t="shared" si="582"/>
        <v/>
      </c>
      <c r="EA12" s="19"/>
      <c r="EB12" s="20"/>
      <c r="EC12" s="20" t="str">
        <f t="shared" ref="EC12:ED12" si="583">EB12</f>
        <v/>
      </c>
      <c r="ED12" s="21" t="str">
        <f t="shared" si="583"/>
        <v/>
      </c>
      <c r="EE12" s="19"/>
      <c r="EF12" s="20"/>
      <c r="EG12" s="20" t="str">
        <f t="shared" ref="EG12:EH12" si="584">EF12</f>
        <v/>
      </c>
      <c r="EH12" s="21" t="str">
        <f t="shared" si="584"/>
        <v/>
      </c>
      <c r="EI12" s="19"/>
      <c r="EJ12" s="21"/>
      <c r="EK12" s="21"/>
      <c r="EL12" s="21"/>
      <c r="EM12" s="19"/>
      <c r="EN12" s="20"/>
      <c r="EO12" s="20" t="str">
        <f t="shared" ref="EO12:EP12" si="585">EN12</f>
        <v/>
      </c>
      <c r="EP12" s="21" t="str">
        <f t="shared" si="585"/>
        <v/>
      </c>
      <c r="EQ12" s="19"/>
      <c r="ER12" s="20"/>
      <c r="ES12" s="20" t="str">
        <f t="shared" ref="ES12:ET12" si="586">ER12</f>
        <v/>
      </c>
      <c r="ET12" s="21" t="str">
        <f t="shared" si="586"/>
        <v/>
      </c>
      <c r="EU12" s="19"/>
      <c r="EV12" s="20"/>
      <c r="EW12" s="20" t="str">
        <f t="shared" ref="EW12:EX12" si="587">EV12</f>
        <v/>
      </c>
      <c r="EX12" s="21" t="str">
        <f t="shared" si="587"/>
        <v/>
      </c>
      <c r="EY12" s="19"/>
      <c r="EZ12" s="20"/>
      <c r="FA12" s="20" t="str">
        <f t="shared" ref="FA12:FB12" si="588">EZ12</f>
        <v/>
      </c>
      <c r="FB12" s="21" t="str">
        <f t="shared" si="588"/>
        <v/>
      </c>
      <c r="FC12" s="19"/>
      <c r="FD12" s="20"/>
      <c r="FE12" s="20" t="str">
        <f t="shared" ref="FE12:FF12" si="589">FD12</f>
        <v/>
      </c>
      <c r="FF12" s="21" t="str">
        <f t="shared" si="589"/>
        <v/>
      </c>
      <c r="FG12" s="19"/>
      <c r="FH12" s="20"/>
      <c r="FI12" s="20" t="str">
        <f t="shared" ref="FI12:FJ12" si="590">FH12</f>
        <v/>
      </c>
      <c r="FJ12" s="21" t="str">
        <f t="shared" si="590"/>
        <v/>
      </c>
      <c r="FK12" s="19"/>
      <c r="FL12" s="20"/>
      <c r="FM12" s="20" t="str">
        <f t="shared" ref="FM12:FN12" si="591">FL12</f>
        <v/>
      </c>
      <c r="FN12" s="21" t="str">
        <f t="shared" si="591"/>
        <v/>
      </c>
      <c r="FO12" s="19"/>
      <c r="FP12" s="20"/>
      <c r="FQ12" s="20" t="str">
        <f t="shared" ref="FQ12:FR12" si="592">FP12</f>
        <v/>
      </c>
      <c r="FR12" s="21" t="str">
        <f t="shared" si="592"/>
        <v/>
      </c>
      <c r="FS12" s="19"/>
      <c r="FT12" s="20"/>
      <c r="FU12" s="20" t="str">
        <f t="shared" ref="FU12:FV12" si="593">FT12</f>
        <v/>
      </c>
      <c r="FV12" s="21" t="str">
        <f t="shared" si="593"/>
        <v/>
      </c>
      <c r="FW12" s="19"/>
      <c r="FX12" s="20"/>
      <c r="FY12" s="20" t="str">
        <f t="shared" ref="FY12:FZ12" si="594">FX12</f>
        <v/>
      </c>
      <c r="FZ12" s="21" t="str">
        <f t="shared" si="594"/>
        <v/>
      </c>
      <c r="GA12" s="19"/>
      <c r="GB12" s="20"/>
      <c r="GC12" s="20" t="str">
        <f t="shared" ref="GC12:GD12" si="595">GB12</f>
        <v/>
      </c>
      <c r="GD12" s="21" t="str">
        <f t="shared" si="595"/>
        <v/>
      </c>
      <c r="GE12" s="19"/>
      <c r="GF12" s="20"/>
      <c r="GG12" s="20" t="str">
        <f t="shared" ref="GG12:GH12" si="596">GF12</f>
        <v/>
      </c>
      <c r="GH12" s="21" t="str">
        <f t="shared" si="596"/>
        <v/>
      </c>
      <c r="GI12" s="19"/>
      <c r="GJ12" s="20"/>
      <c r="GK12" s="20" t="str">
        <f t="shared" ref="GK12:GL12" si="597">GJ12</f>
        <v/>
      </c>
      <c r="GL12" s="20" t="str">
        <f t="shared" si="597"/>
        <v/>
      </c>
      <c r="GM12" s="22"/>
      <c r="GN12" s="20"/>
      <c r="GO12" s="20" t="str">
        <f t="shared" ref="GO12:GP12" si="598">GN12</f>
        <v/>
      </c>
      <c r="GP12" s="21" t="str">
        <f t="shared" si="598"/>
        <v/>
      </c>
      <c r="GQ12" s="19"/>
      <c r="GR12" s="20"/>
      <c r="GS12" s="20" t="str">
        <f t="shared" ref="GS12:GT12" si="599">GR12</f>
        <v/>
      </c>
      <c r="GT12" s="21" t="str">
        <f t="shared" si="599"/>
        <v/>
      </c>
      <c r="GU12" s="19"/>
      <c r="GV12" s="20"/>
      <c r="GW12" s="20" t="str">
        <f t="shared" ref="GW12:GX12" si="600">GV12</f>
        <v/>
      </c>
      <c r="GX12" s="21" t="str">
        <f t="shared" si="600"/>
        <v/>
      </c>
      <c r="GY12" s="19"/>
      <c r="GZ12" s="20"/>
      <c r="HA12" s="20" t="str">
        <f t="shared" ref="HA12:HB12" si="601">GZ12</f>
        <v/>
      </c>
      <c r="HB12" s="21" t="str">
        <f t="shared" si="601"/>
        <v/>
      </c>
      <c r="HC12" s="19"/>
      <c r="HD12" s="20"/>
      <c r="HE12" s="20" t="str">
        <f t="shared" ref="HE12:HF12" si="602">HD12</f>
        <v/>
      </c>
      <c r="HF12" s="21" t="str">
        <f t="shared" si="602"/>
        <v/>
      </c>
      <c r="HG12" s="19"/>
      <c r="HH12" s="20"/>
      <c r="HI12" s="20" t="str">
        <f t="shared" ref="HI12:HJ12" si="603">HH12</f>
        <v/>
      </c>
      <c r="HJ12" s="21" t="str">
        <f t="shared" si="603"/>
        <v/>
      </c>
      <c r="HK12" s="19"/>
      <c r="HL12" s="20"/>
      <c r="HM12" s="20" t="str">
        <f t="shared" ref="HM12:HN12" si="604">HL12</f>
        <v/>
      </c>
      <c r="HN12" s="21" t="str">
        <f t="shared" si="604"/>
        <v/>
      </c>
      <c r="HO12" s="19"/>
      <c r="HP12" s="20"/>
      <c r="HQ12" s="20" t="str">
        <f t="shared" ref="HQ12:HR12" si="605">HP12</f>
        <v/>
      </c>
      <c r="HR12" s="21" t="str">
        <f t="shared" si="605"/>
        <v/>
      </c>
      <c r="HS12" s="19"/>
      <c r="HT12" s="20"/>
      <c r="HU12" s="20" t="str">
        <f t="shared" ref="HU12:HV12" si="606">HT12</f>
        <v/>
      </c>
      <c r="HV12" s="21" t="str">
        <f t="shared" si="606"/>
        <v/>
      </c>
      <c r="HW12" s="19"/>
      <c r="HX12" s="20"/>
      <c r="HY12" s="20" t="str">
        <f t="shared" ref="HY12:HZ12" si="607">HX12</f>
        <v/>
      </c>
      <c r="HZ12" s="21" t="str">
        <f t="shared" si="607"/>
        <v/>
      </c>
      <c r="IA12" s="19"/>
      <c r="IB12" s="20"/>
      <c r="IC12" s="20" t="str">
        <f t="shared" ref="IC12:ID12" si="608">IB12</f>
        <v/>
      </c>
      <c r="ID12" s="21" t="str">
        <f t="shared" si="608"/>
        <v/>
      </c>
      <c r="IE12" s="19"/>
      <c r="IF12" s="20"/>
      <c r="IG12" s="20" t="str">
        <f t="shared" ref="IG12:IH12" si="609">IF12</f>
        <v/>
      </c>
      <c r="IH12" s="21" t="str">
        <f t="shared" si="609"/>
        <v/>
      </c>
      <c r="II12" s="19"/>
      <c r="IJ12" s="20"/>
      <c r="IK12" s="20" t="str">
        <f t="shared" ref="IK12:IL12" si="610">IJ12</f>
        <v/>
      </c>
      <c r="IL12" s="21" t="str">
        <f t="shared" si="610"/>
        <v/>
      </c>
      <c r="IM12" s="19"/>
      <c r="IN12" s="20"/>
      <c r="IO12" s="20" t="str">
        <f t="shared" ref="IO12:IP12" si="611">IN12</f>
        <v/>
      </c>
      <c r="IP12" s="21" t="str">
        <f t="shared" si="611"/>
        <v/>
      </c>
      <c r="IQ12" s="19"/>
      <c r="IR12" s="20"/>
      <c r="IS12" s="20" t="str">
        <f t="shared" ref="IS12:IT12" si="612">IR12</f>
        <v/>
      </c>
      <c r="IT12" s="21" t="str">
        <f t="shared" si="612"/>
        <v/>
      </c>
      <c r="IU12" s="19"/>
      <c r="IV12" s="20"/>
      <c r="IW12" s="20" t="str">
        <f t="shared" ref="IW12:IX12" si="613">IV12</f>
        <v/>
      </c>
      <c r="IX12" s="21" t="str">
        <f t="shared" si="613"/>
        <v/>
      </c>
      <c r="IY12" s="19"/>
      <c r="IZ12" s="20"/>
      <c r="JA12" s="20" t="str">
        <f t="shared" ref="JA12:JB12" si="614">IZ12</f>
        <v/>
      </c>
      <c r="JB12" s="21" t="str">
        <f t="shared" si="614"/>
        <v/>
      </c>
      <c r="JC12" s="19"/>
      <c r="JD12" s="20"/>
      <c r="JE12" s="20" t="str">
        <f t="shared" ref="JE12:JF12" si="615">JD12</f>
        <v/>
      </c>
      <c r="JF12" s="20" t="str">
        <f t="shared" si="615"/>
        <v/>
      </c>
      <c r="JG12" s="19"/>
      <c r="JH12" s="20"/>
      <c r="JI12" s="20" t="str">
        <f t="shared" ref="JI12:JJ12" si="616">JH12</f>
        <v/>
      </c>
      <c r="JJ12" s="21" t="str">
        <f t="shared" si="616"/>
        <v/>
      </c>
      <c r="JK12" s="19"/>
      <c r="JL12" s="20"/>
      <c r="JM12" s="20" t="str">
        <f t="shared" ref="JM12:JN12" si="617">JL12</f>
        <v/>
      </c>
      <c r="JN12" s="21" t="str">
        <f t="shared" si="617"/>
        <v/>
      </c>
      <c r="JO12" s="19"/>
      <c r="JP12" s="20"/>
      <c r="JQ12" s="20" t="str">
        <f t="shared" ref="JQ12:JR12" si="618">JP12</f>
        <v/>
      </c>
      <c r="JR12" s="21" t="str">
        <f t="shared" si="618"/>
        <v/>
      </c>
      <c r="JS12" s="19"/>
      <c r="JT12" s="20"/>
      <c r="JU12" s="20" t="str">
        <f t="shared" ref="JU12:JV12" si="619">JT12</f>
        <v/>
      </c>
      <c r="JV12" s="21" t="str">
        <f t="shared" si="619"/>
        <v/>
      </c>
      <c r="JW12" s="19"/>
      <c r="JX12" s="20"/>
      <c r="JY12" s="20" t="str">
        <f t="shared" ref="JY12:JZ12" si="620">JX12</f>
        <v/>
      </c>
      <c r="JZ12" s="21" t="str">
        <f t="shared" si="620"/>
        <v/>
      </c>
    </row>
    <row r="13" ht="15.75" customHeight="1">
      <c r="A13" s="23" t="s">
        <v>81</v>
      </c>
      <c r="B13" s="33" t="s">
        <v>91</v>
      </c>
      <c r="C13" s="19"/>
      <c r="D13" s="20"/>
      <c r="E13" s="20" t="str">
        <f t="shared" ref="E13:F13" si="621">D13</f>
        <v/>
      </c>
      <c r="F13" s="21" t="str">
        <f t="shared" si="621"/>
        <v/>
      </c>
      <c r="G13" s="19"/>
      <c r="H13" s="20"/>
      <c r="I13" s="20" t="str">
        <f t="shared" ref="I13:J13" si="622">H13</f>
        <v/>
      </c>
      <c r="J13" s="21" t="str">
        <f t="shared" si="622"/>
        <v/>
      </c>
      <c r="K13" s="19"/>
      <c r="L13" s="20"/>
      <c r="M13" s="20" t="str">
        <f t="shared" ref="M13:N13" si="623">L13</f>
        <v/>
      </c>
      <c r="N13" s="21" t="str">
        <f t="shared" si="623"/>
        <v/>
      </c>
      <c r="O13" s="19"/>
      <c r="P13" s="20"/>
      <c r="Q13" s="20" t="str">
        <f t="shared" ref="Q13:R13" si="624">P13</f>
        <v/>
      </c>
      <c r="R13" s="21" t="str">
        <f t="shared" si="624"/>
        <v/>
      </c>
      <c r="S13" s="19"/>
      <c r="T13" s="20"/>
      <c r="U13" s="20" t="str">
        <f t="shared" ref="U13:V13" si="625">T13</f>
        <v/>
      </c>
      <c r="V13" s="21" t="str">
        <f t="shared" si="625"/>
        <v/>
      </c>
      <c r="W13" s="19"/>
      <c r="X13" s="20"/>
      <c r="Y13" s="20" t="str">
        <f t="shared" ref="Y13:Z13" si="626">X13</f>
        <v/>
      </c>
      <c r="Z13" s="21" t="str">
        <f t="shared" si="626"/>
        <v/>
      </c>
      <c r="AA13" s="19"/>
      <c r="AB13" s="20"/>
      <c r="AC13" s="20" t="str">
        <f t="shared" ref="AC13:AD13" si="627">AB13</f>
        <v/>
      </c>
      <c r="AD13" s="21" t="str">
        <f t="shared" si="627"/>
        <v/>
      </c>
      <c r="AE13" s="19"/>
      <c r="AF13" s="20"/>
      <c r="AG13" s="20" t="str">
        <f t="shared" ref="AG13:AH13" si="628">AF13</f>
        <v/>
      </c>
      <c r="AH13" s="21" t="str">
        <f t="shared" si="628"/>
        <v/>
      </c>
      <c r="AI13" s="19"/>
      <c r="AJ13" s="20"/>
      <c r="AK13" s="20" t="str">
        <f t="shared" ref="AK13:AL13" si="629">AJ13</f>
        <v/>
      </c>
      <c r="AL13" s="21" t="str">
        <f t="shared" si="629"/>
        <v/>
      </c>
      <c r="AM13" s="19"/>
      <c r="AN13" s="20"/>
      <c r="AO13" s="20" t="str">
        <f t="shared" ref="AO13:AP13" si="630">AN13</f>
        <v/>
      </c>
      <c r="AP13" s="21" t="str">
        <f t="shared" si="630"/>
        <v/>
      </c>
      <c r="AQ13" s="19"/>
      <c r="AR13" s="20"/>
      <c r="AS13" s="20" t="str">
        <f t="shared" ref="AS13:AT13" si="631">AR13</f>
        <v/>
      </c>
      <c r="AT13" s="21" t="str">
        <f t="shared" si="631"/>
        <v/>
      </c>
      <c r="AU13" s="19"/>
      <c r="AV13" s="20"/>
      <c r="AW13" s="20" t="str">
        <f t="shared" ref="AW13:AX13" si="632">AV13</f>
        <v/>
      </c>
      <c r="AX13" s="21" t="str">
        <f t="shared" si="632"/>
        <v/>
      </c>
      <c r="AY13" s="19"/>
      <c r="AZ13" s="20"/>
      <c r="BA13" s="20" t="str">
        <f t="shared" ref="BA13:BB13" si="633">AZ13</f>
        <v/>
      </c>
      <c r="BB13" s="21" t="str">
        <f t="shared" si="633"/>
        <v/>
      </c>
      <c r="BC13" s="19"/>
      <c r="BD13" s="20"/>
      <c r="BE13" s="20" t="str">
        <f t="shared" ref="BE13:BF13" si="634">BD13</f>
        <v/>
      </c>
      <c r="BF13" s="21" t="str">
        <f t="shared" si="634"/>
        <v/>
      </c>
      <c r="BG13" s="19"/>
      <c r="BH13" s="20"/>
      <c r="BI13" s="20" t="str">
        <f t="shared" ref="BI13:BJ13" si="635">BH13</f>
        <v/>
      </c>
      <c r="BJ13" s="21" t="str">
        <f t="shared" si="635"/>
        <v/>
      </c>
      <c r="BK13" s="19"/>
      <c r="BL13" s="20"/>
      <c r="BM13" s="20" t="str">
        <f t="shared" ref="BM13:BN13" si="636">BL13</f>
        <v/>
      </c>
      <c r="BN13" s="21" t="str">
        <f t="shared" si="636"/>
        <v/>
      </c>
      <c r="BO13" s="19"/>
      <c r="BP13" s="20"/>
      <c r="BQ13" s="20" t="str">
        <f t="shared" ref="BQ13:BR13" si="637">BP13</f>
        <v/>
      </c>
      <c r="BR13" s="21" t="str">
        <f t="shared" si="637"/>
        <v/>
      </c>
      <c r="BS13" s="19"/>
      <c r="BT13" s="20"/>
      <c r="BU13" s="20" t="str">
        <f t="shared" ref="BU13:BV13" si="638">BT13</f>
        <v/>
      </c>
      <c r="BV13" s="21" t="str">
        <f t="shared" si="638"/>
        <v/>
      </c>
      <c r="BW13" s="19"/>
      <c r="BX13" s="20"/>
      <c r="BY13" s="20" t="str">
        <f t="shared" ref="BY13:BZ13" si="639">BX13</f>
        <v/>
      </c>
      <c r="BZ13" s="21" t="str">
        <f t="shared" si="639"/>
        <v/>
      </c>
      <c r="CA13" s="19"/>
      <c r="CB13" s="20"/>
      <c r="CC13" s="20" t="str">
        <f t="shared" ref="CC13:CD13" si="640">CB13</f>
        <v/>
      </c>
      <c r="CD13" s="21" t="str">
        <f t="shared" si="640"/>
        <v/>
      </c>
      <c r="CE13" s="19"/>
      <c r="CF13" s="20"/>
      <c r="CG13" s="20" t="str">
        <f t="shared" ref="CG13:CH13" si="641">CF13</f>
        <v/>
      </c>
      <c r="CH13" s="21" t="str">
        <f t="shared" si="641"/>
        <v/>
      </c>
      <c r="CI13" s="19"/>
      <c r="CJ13" s="20"/>
      <c r="CK13" s="20" t="str">
        <f t="shared" ref="CK13:CL13" si="642">CJ13</f>
        <v/>
      </c>
      <c r="CL13" s="21" t="str">
        <f t="shared" si="642"/>
        <v/>
      </c>
      <c r="CM13" s="19"/>
      <c r="CN13" s="20"/>
      <c r="CO13" s="20" t="str">
        <f t="shared" ref="CO13:CP13" si="643">CN13</f>
        <v/>
      </c>
      <c r="CP13" s="21" t="str">
        <f t="shared" si="643"/>
        <v/>
      </c>
      <c r="CQ13" s="19"/>
      <c r="CR13" s="20"/>
      <c r="CS13" s="20" t="str">
        <f t="shared" ref="CS13:CT13" si="644">CR13</f>
        <v/>
      </c>
      <c r="CT13" s="21" t="str">
        <f t="shared" si="644"/>
        <v/>
      </c>
      <c r="CU13" s="19"/>
      <c r="CV13" s="20"/>
      <c r="CW13" s="20" t="str">
        <f t="shared" ref="CW13:CX13" si="645">CV13</f>
        <v/>
      </c>
      <c r="CX13" s="21" t="str">
        <f t="shared" si="645"/>
        <v/>
      </c>
      <c r="CY13" s="19"/>
      <c r="CZ13" s="20"/>
      <c r="DA13" s="20" t="str">
        <f t="shared" ref="DA13:DB13" si="646">CZ13</f>
        <v/>
      </c>
      <c r="DB13" s="21" t="str">
        <f t="shared" si="646"/>
        <v/>
      </c>
      <c r="DC13" s="19"/>
      <c r="DD13" s="20"/>
      <c r="DE13" s="20" t="str">
        <f t="shared" ref="DE13:DF13" si="647">DD13</f>
        <v/>
      </c>
      <c r="DF13" s="21" t="str">
        <f t="shared" si="647"/>
        <v/>
      </c>
      <c r="DG13" s="19"/>
      <c r="DH13" s="20"/>
      <c r="DI13" s="20" t="str">
        <f t="shared" ref="DI13:DJ13" si="648">DH13</f>
        <v/>
      </c>
      <c r="DJ13" s="21" t="str">
        <f t="shared" si="648"/>
        <v/>
      </c>
      <c r="DK13" s="19"/>
      <c r="DL13" s="20"/>
      <c r="DM13" s="20" t="str">
        <f t="shared" ref="DM13:DN13" si="649">DL13</f>
        <v/>
      </c>
      <c r="DN13" s="21" t="str">
        <f t="shared" si="649"/>
        <v/>
      </c>
      <c r="DO13" s="19"/>
      <c r="DP13" s="20"/>
      <c r="DQ13" s="20" t="str">
        <f t="shared" ref="DQ13:DR13" si="650">DP13</f>
        <v/>
      </c>
      <c r="DR13" s="21" t="str">
        <f t="shared" si="650"/>
        <v/>
      </c>
      <c r="DS13" s="19"/>
      <c r="DT13" s="20"/>
      <c r="DU13" s="20" t="str">
        <f t="shared" ref="DU13:DV13" si="651">DT13</f>
        <v/>
      </c>
      <c r="DV13" s="21" t="str">
        <f t="shared" si="651"/>
        <v/>
      </c>
      <c r="DW13" s="19"/>
      <c r="DX13" s="20"/>
      <c r="DY13" s="20" t="str">
        <f t="shared" ref="DY13:DZ13" si="652">DX13</f>
        <v/>
      </c>
      <c r="DZ13" s="21" t="str">
        <f t="shared" si="652"/>
        <v/>
      </c>
      <c r="EA13" s="19"/>
      <c r="EB13" s="20"/>
      <c r="EC13" s="20" t="str">
        <f t="shared" ref="EC13:ED13" si="653">EB13</f>
        <v/>
      </c>
      <c r="ED13" s="21" t="str">
        <f t="shared" si="653"/>
        <v/>
      </c>
      <c r="EE13" s="19"/>
      <c r="EF13" s="20"/>
      <c r="EG13" s="20" t="str">
        <f t="shared" ref="EG13:EH13" si="654">EF13</f>
        <v/>
      </c>
      <c r="EH13" s="21" t="str">
        <f t="shared" si="654"/>
        <v/>
      </c>
      <c r="EI13" s="19"/>
      <c r="EJ13" s="21"/>
      <c r="EK13" s="21"/>
      <c r="EL13" s="21"/>
      <c r="EM13" s="19"/>
      <c r="EN13" s="20"/>
      <c r="EO13" s="20" t="str">
        <f t="shared" ref="EO13:EP13" si="655">EN13</f>
        <v/>
      </c>
      <c r="EP13" s="21" t="str">
        <f t="shared" si="655"/>
        <v/>
      </c>
      <c r="EQ13" s="19"/>
      <c r="ER13" s="20"/>
      <c r="ES13" s="20" t="str">
        <f t="shared" ref="ES13:ET13" si="656">ER13</f>
        <v/>
      </c>
      <c r="ET13" s="21" t="str">
        <f t="shared" si="656"/>
        <v/>
      </c>
      <c r="EU13" s="19"/>
      <c r="EV13" s="20"/>
      <c r="EW13" s="20" t="str">
        <f t="shared" ref="EW13:EX13" si="657">EV13</f>
        <v/>
      </c>
      <c r="EX13" s="21" t="str">
        <f t="shared" si="657"/>
        <v/>
      </c>
      <c r="EY13" s="19"/>
      <c r="EZ13" s="20"/>
      <c r="FA13" s="20" t="str">
        <f t="shared" ref="FA13:FB13" si="658">EZ13</f>
        <v/>
      </c>
      <c r="FB13" s="21" t="str">
        <f t="shared" si="658"/>
        <v/>
      </c>
      <c r="FC13" s="19"/>
      <c r="FD13" s="20"/>
      <c r="FE13" s="20" t="str">
        <f t="shared" ref="FE13:FF13" si="659">FD13</f>
        <v/>
      </c>
      <c r="FF13" s="21" t="str">
        <f t="shared" si="659"/>
        <v/>
      </c>
      <c r="FG13" s="19"/>
      <c r="FH13" s="20"/>
      <c r="FI13" s="20" t="str">
        <f t="shared" ref="FI13:FJ13" si="660">FH13</f>
        <v/>
      </c>
      <c r="FJ13" s="21" t="str">
        <f t="shared" si="660"/>
        <v/>
      </c>
      <c r="FK13" s="19"/>
      <c r="FL13" s="20"/>
      <c r="FM13" s="20" t="str">
        <f t="shared" ref="FM13:FN13" si="661">FL13</f>
        <v/>
      </c>
      <c r="FN13" s="21" t="str">
        <f t="shared" si="661"/>
        <v/>
      </c>
      <c r="FO13" s="19"/>
      <c r="FP13" s="20"/>
      <c r="FQ13" s="20" t="str">
        <f t="shared" ref="FQ13:FR13" si="662">FP13</f>
        <v/>
      </c>
      <c r="FR13" s="21" t="str">
        <f t="shared" si="662"/>
        <v/>
      </c>
      <c r="FS13" s="19"/>
      <c r="FT13" s="20"/>
      <c r="FU13" s="20" t="str">
        <f t="shared" ref="FU13:FV13" si="663">FT13</f>
        <v/>
      </c>
      <c r="FV13" s="21" t="str">
        <f t="shared" si="663"/>
        <v/>
      </c>
      <c r="FW13" s="19"/>
      <c r="FX13" s="20"/>
      <c r="FY13" s="20" t="str">
        <f t="shared" ref="FY13:FZ13" si="664">FX13</f>
        <v/>
      </c>
      <c r="FZ13" s="21" t="str">
        <f t="shared" si="664"/>
        <v/>
      </c>
      <c r="GA13" s="19"/>
      <c r="GB13" s="20"/>
      <c r="GC13" s="20" t="str">
        <f t="shared" ref="GC13:GD13" si="665">GB13</f>
        <v/>
      </c>
      <c r="GD13" s="21" t="str">
        <f t="shared" si="665"/>
        <v/>
      </c>
      <c r="GE13" s="19"/>
      <c r="GF13" s="20"/>
      <c r="GG13" s="20" t="str">
        <f t="shared" ref="GG13:GH13" si="666">GF13</f>
        <v/>
      </c>
      <c r="GH13" s="21" t="str">
        <f t="shared" si="666"/>
        <v/>
      </c>
      <c r="GI13" s="19"/>
      <c r="GJ13" s="20"/>
      <c r="GK13" s="20" t="str">
        <f t="shared" ref="GK13:GL13" si="667">GJ13</f>
        <v/>
      </c>
      <c r="GL13" s="20" t="str">
        <f t="shared" si="667"/>
        <v/>
      </c>
      <c r="GM13" s="22"/>
      <c r="GN13" s="20"/>
      <c r="GO13" s="20" t="str">
        <f t="shared" ref="GO13:GP13" si="668">GN13</f>
        <v/>
      </c>
      <c r="GP13" s="21" t="str">
        <f t="shared" si="668"/>
        <v/>
      </c>
      <c r="GQ13" s="19"/>
      <c r="GR13" s="20"/>
      <c r="GS13" s="20" t="str">
        <f t="shared" ref="GS13:GT13" si="669">GR13</f>
        <v/>
      </c>
      <c r="GT13" s="21" t="str">
        <f t="shared" si="669"/>
        <v/>
      </c>
      <c r="GU13" s="19"/>
      <c r="GV13" s="20"/>
      <c r="GW13" s="20" t="str">
        <f t="shared" ref="GW13:GX13" si="670">GV13</f>
        <v/>
      </c>
      <c r="GX13" s="21" t="str">
        <f t="shared" si="670"/>
        <v/>
      </c>
      <c r="GY13" s="19"/>
      <c r="GZ13" s="20"/>
      <c r="HA13" s="20" t="str">
        <f t="shared" ref="HA13:HB13" si="671">GZ13</f>
        <v/>
      </c>
      <c r="HB13" s="21" t="str">
        <f t="shared" si="671"/>
        <v/>
      </c>
      <c r="HC13" s="19"/>
      <c r="HD13" s="20"/>
      <c r="HE13" s="20" t="str">
        <f t="shared" ref="HE13:HF13" si="672">HD13</f>
        <v/>
      </c>
      <c r="HF13" s="21" t="str">
        <f t="shared" si="672"/>
        <v/>
      </c>
      <c r="HG13" s="19"/>
      <c r="HH13" s="20"/>
      <c r="HI13" s="20" t="str">
        <f t="shared" ref="HI13:HJ13" si="673">HH13</f>
        <v/>
      </c>
      <c r="HJ13" s="21" t="str">
        <f t="shared" si="673"/>
        <v/>
      </c>
      <c r="HK13" s="19"/>
      <c r="HL13" s="20"/>
      <c r="HM13" s="20" t="str">
        <f t="shared" ref="HM13:HN13" si="674">HL13</f>
        <v/>
      </c>
      <c r="HN13" s="21" t="str">
        <f t="shared" si="674"/>
        <v/>
      </c>
      <c r="HO13" s="19"/>
      <c r="HP13" s="20"/>
      <c r="HQ13" s="20" t="str">
        <f t="shared" ref="HQ13:HR13" si="675">HP13</f>
        <v/>
      </c>
      <c r="HR13" s="21" t="str">
        <f t="shared" si="675"/>
        <v/>
      </c>
      <c r="HS13" s="19"/>
      <c r="HT13" s="20"/>
      <c r="HU13" s="20" t="str">
        <f t="shared" ref="HU13:HV13" si="676">HT13</f>
        <v/>
      </c>
      <c r="HV13" s="21" t="str">
        <f t="shared" si="676"/>
        <v/>
      </c>
      <c r="HW13" s="19"/>
      <c r="HX13" s="20"/>
      <c r="HY13" s="20" t="str">
        <f t="shared" ref="HY13:HZ13" si="677">HX13</f>
        <v/>
      </c>
      <c r="HZ13" s="21" t="str">
        <f t="shared" si="677"/>
        <v/>
      </c>
      <c r="IA13" s="19"/>
      <c r="IB13" s="20"/>
      <c r="IC13" s="20" t="str">
        <f t="shared" ref="IC13:ID13" si="678">IB13</f>
        <v/>
      </c>
      <c r="ID13" s="21" t="str">
        <f t="shared" si="678"/>
        <v/>
      </c>
      <c r="IE13" s="19"/>
      <c r="IF13" s="20"/>
      <c r="IG13" s="20" t="str">
        <f t="shared" ref="IG13:IH13" si="679">IF13</f>
        <v/>
      </c>
      <c r="IH13" s="21" t="str">
        <f t="shared" si="679"/>
        <v/>
      </c>
      <c r="II13" s="19"/>
      <c r="IJ13" s="20"/>
      <c r="IK13" s="20" t="str">
        <f t="shared" ref="IK13:IL13" si="680">IJ13</f>
        <v/>
      </c>
      <c r="IL13" s="21" t="str">
        <f t="shared" si="680"/>
        <v/>
      </c>
      <c r="IM13" s="19"/>
      <c r="IN13" s="20"/>
      <c r="IO13" s="20" t="str">
        <f t="shared" ref="IO13:IP13" si="681">IN13</f>
        <v/>
      </c>
      <c r="IP13" s="21" t="str">
        <f t="shared" si="681"/>
        <v/>
      </c>
      <c r="IQ13" s="19"/>
      <c r="IR13" s="20"/>
      <c r="IS13" s="20" t="str">
        <f t="shared" ref="IS13:IT13" si="682">IR13</f>
        <v/>
      </c>
      <c r="IT13" s="21" t="str">
        <f t="shared" si="682"/>
        <v/>
      </c>
      <c r="IU13" s="19"/>
      <c r="IV13" s="20"/>
      <c r="IW13" s="20" t="str">
        <f t="shared" ref="IW13:IX13" si="683">IV13</f>
        <v/>
      </c>
      <c r="IX13" s="21" t="str">
        <f t="shared" si="683"/>
        <v/>
      </c>
      <c r="IY13" s="19"/>
      <c r="IZ13" s="20"/>
      <c r="JA13" s="20" t="str">
        <f t="shared" ref="JA13:JB13" si="684">IZ13</f>
        <v/>
      </c>
      <c r="JB13" s="21" t="str">
        <f t="shared" si="684"/>
        <v/>
      </c>
      <c r="JC13" s="19"/>
      <c r="JD13" s="20"/>
      <c r="JE13" s="20" t="str">
        <f t="shared" ref="JE13:JF13" si="685">JD13</f>
        <v/>
      </c>
      <c r="JF13" s="20" t="str">
        <f t="shared" si="685"/>
        <v/>
      </c>
      <c r="JG13" s="19"/>
      <c r="JH13" s="20"/>
      <c r="JI13" s="20" t="str">
        <f t="shared" ref="JI13:JJ13" si="686">JH13</f>
        <v/>
      </c>
      <c r="JJ13" s="21" t="str">
        <f t="shared" si="686"/>
        <v/>
      </c>
      <c r="JK13" s="19"/>
      <c r="JL13" s="20"/>
      <c r="JM13" s="20" t="str">
        <f t="shared" ref="JM13:JN13" si="687">JL13</f>
        <v/>
      </c>
      <c r="JN13" s="21" t="str">
        <f t="shared" si="687"/>
        <v/>
      </c>
      <c r="JO13" s="19"/>
      <c r="JP13" s="20"/>
      <c r="JQ13" s="20" t="str">
        <f t="shared" ref="JQ13:JR13" si="688">JP13</f>
        <v/>
      </c>
      <c r="JR13" s="21" t="str">
        <f t="shared" si="688"/>
        <v/>
      </c>
      <c r="JS13" s="19"/>
      <c r="JT13" s="20"/>
      <c r="JU13" s="20" t="str">
        <f t="shared" ref="JU13:JV13" si="689">JT13</f>
        <v/>
      </c>
      <c r="JV13" s="21" t="str">
        <f t="shared" si="689"/>
        <v/>
      </c>
      <c r="JW13" s="19"/>
      <c r="JX13" s="20"/>
      <c r="JY13" s="20" t="str">
        <f t="shared" ref="JY13:JZ13" si="690">JX13</f>
        <v/>
      </c>
      <c r="JZ13" s="21" t="str">
        <f t="shared" si="690"/>
        <v/>
      </c>
    </row>
    <row r="14" ht="15.75" customHeight="1">
      <c r="A14" s="24" t="s">
        <v>92</v>
      </c>
      <c r="B14" s="18"/>
      <c r="C14" s="19">
        <v>0.0</v>
      </c>
      <c r="D14" s="20">
        <f t="shared" ref="D14:F14" si="691">C14</f>
        <v>0</v>
      </c>
      <c r="E14" s="20">
        <f t="shared" si="691"/>
        <v>0</v>
      </c>
      <c r="F14" s="21">
        <f t="shared" si="691"/>
        <v>0</v>
      </c>
      <c r="G14" s="19">
        <v>0.0</v>
      </c>
      <c r="H14" s="20">
        <f t="shared" ref="H14:J14" si="692">G14</f>
        <v>0</v>
      </c>
      <c r="I14" s="20">
        <f t="shared" si="692"/>
        <v>0</v>
      </c>
      <c r="J14" s="21">
        <f t="shared" si="692"/>
        <v>0</v>
      </c>
      <c r="K14" s="19">
        <v>0.0</v>
      </c>
      <c r="L14" s="20">
        <f t="shared" ref="L14:N14" si="693">K14</f>
        <v>0</v>
      </c>
      <c r="M14" s="20">
        <f t="shared" si="693"/>
        <v>0</v>
      </c>
      <c r="N14" s="21">
        <f t="shared" si="693"/>
        <v>0</v>
      </c>
      <c r="O14" s="19">
        <v>0.0</v>
      </c>
      <c r="P14" s="20">
        <f t="shared" ref="P14:R14" si="694">O14</f>
        <v>0</v>
      </c>
      <c r="Q14" s="20">
        <f t="shared" si="694"/>
        <v>0</v>
      </c>
      <c r="R14" s="21">
        <f t="shared" si="694"/>
        <v>0</v>
      </c>
      <c r="S14" s="19">
        <v>0.0</v>
      </c>
      <c r="T14" s="20">
        <f t="shared" ref="T14:V14" si="695">S14</f>
        <v>0</v>
      </c>
      <c r="U14" s="20">
        <f t="shared" si="695"/>
        <v>0</v>
      </c>
      <c r="V14" s="21">
        <f t="shared" si="695"/>
        <v>0</v>
      </c>
      <c r="W14" s="34">
        <v>0.0</v>
      </c>
      <c r="X14" s="20">
        <f t="shared" ref="X14:Z14" si="696">W14</f>
        <v>0</v>
      </c>
      <c r="Y14" s="20">
        <f t="shared" si="696"/>
        <v>0</v>
      </c>
      <c r="Z14" s="21">
        <f t="shared" si="696"/>
        <v>0</v>
      </c>
      <c r="AA14" s="19">
        <v>0.0</v>
      </c>
      <c r="AB14" s="20">
        <f t="shared" ref="AB14:AD14" si="697">AA14</f>
        <v>0</v>
      </c>
      <c r="AC14" s="20">
        <f t="shared" si="697"/>
        <v>0</v>
      </c>
      <c r="AD14" s="21">
        <f t="shared" si="697"/>
        <v>0</v>
      </c>
      <c r="AE14" s="19">
        <v>0.0</v>
      </c>
      <c r="AF14" s="20">
        <f t="shared" ref="AF14:AH14" si="698">AE14</f>
        <v>0</v>
      </c>
      <c r="AG14" s="20">
        <f t="shared" si="698"/>
        <v>0</v>
      </c>
      <c r="AH14" s="21">
        <f t="shared" si="698"/>
        <v>0</v>
      </c>
      <c r="AI14" s="19">
        <v>0.0</v>
      </c>
      <c r="AJ14" s="20">
        <f t="shared" ref="AJ14:AL14" si="699">AI14</f>
        <v>0</v>
      </c>
      <c r="AK14" s="20">
        <f t="shared" si="699"/>
        <v>0</v>
      </c>
      <c r="AL14" s="21">
        <f t="shared" si="699"/>
        <v>0</v>
      </c>
      <c r="AM14" s="19">
        <v>0.0</v>
      </c>
      <c r="AN14" s="20">
        <f t="shared" ref="AN14:AP14" si="700">AM14</f>
        <v>0</v>
      </c>
      <c r="AO14" s="20">
        <f t="shared" si="700"/>
        <v>0</v>
      </c>
      <c r="AP14" s="21">
        <f t="shared" si="700"/>
        <v>0</v>
      </c>
      <c r="AQ14" s="19">
        <v>0.0</v>
      </c>
      <c r="AR14" s="20">
        <f t="shared" ref="AR14:AT14" si="701">AQ14</f>
        <v>0</v>
      </c>
      <c r="AS14" s="20">
        <f t="shared" si="701"/>
        <v>0</v>
      </c>
      <c r="AT14" s="21">
        <f t="shared" si="701"/>
        <v>0</v>
      </c>
      <c r="AU14" s="19">
        <v>0.0</v>
      </c>
      <c r="AV14" s="20">
        <f t="shared" ref="AV14:AX14" si="702">AU14</f>
        <v>0</v>
      </c>
      <c r="AW14" s="20">
        <f t="shared" si="702"/>
        <v>0</v>
      </c>
      <c r="AX14" s="21">
        <f t="shared" si="702"/>
        <v>0</v>
      </c>
      <c r="AY14" s="19">
        <v>0.0</v>
      </c>
      <c r="AZ14" s="20">
        <f t="shared" ref="AZ14:BB14" si="703">AY14</f>
        <v>0</v>
      </c>
      <c r="BA14" s="20">
        <f t="shared" si="703"/>
        <v>0</v>
      </c>
      <c r="BB14" s="21">
        <f t="shared" si="703"/>
        <v>0</v>
      </c>
      <c r="BC14" s="19">
        <v>0.0</v>
      </c>
      <c r="BD14" s="20">
        <f t="shared" ref="BD14:BF14" si="704">BC14</f>
        <v>0</v>
      </c>
      <c r="BE14" s="20">
        <f t="shared" si="704"/>
        <v>0</v>
      </c>
      <c r="BF14" s="21">
        <f t="shared" si="704"/>
        <v>0</v>
      </c>
      <c r="BG14" s="19">
        <v>0.0</v>
      </c>
      <c r="BH14" s="20">
        <f t="shared" ref="BH14:BJ14" si="705">BG14</f>
        <v>0</v>
      </c>
      <c r="BI14" s="20">
        <f t="shared" si="705"/>
        <v>0</v>
      </c>
      <c r="BJ14" s="21">
        <f t="shared" si="705"/>
        <v>0</v>
      </c>
      <c r="BK14" s="19">
        <v>0.0</v>
      </c>
      <c r="BL14" s="20">
        <f t="shared" ref="BL14:BN14" si="706">BK14</f>
        <v>0</v>
      </c>
      <c r="BM14" s="20">
        <f t="shared" si="706"/>
        <v>0</v>
      </c>
      <c r="BN14" s="21">
        <f t="shared" si="706"/>
        <v>0</v>
      </c>
      <c r="BO14" s="19">
        <v>0.0</v>
      </c>
      <c r="BP14" s="20">
        <f t="shared" ref="BP14:BR14" si="707">BO14</f>
        <v>0</v>
      </c>
      <c r="BQ14" s="20">
        <f t="shared" si="707"/>
        <v>0</v>
      </c>
      <c r="BR14" s="21">
        <f t="shared" si="707"/>
        <v>0</v>
      </c>
      <c r="BS14" s="19">
        <v>30000.0</v>
      </c>
      <c r="BT14" s="20">
        <f t="shared" ref="BT14:BT15" si="778">BS14</f>
        <v>30000</v>
      </c>
      <c r="BU14" s="20">
        <v>20000.0</v>
      </c>
      <c r="BV14" s="21">
        <f>BU14</f>
        <v>20000</v>
      </c>
      <c r="BW14" s="19">
        <v>0.0</v>
      </c>
      <c r="BX14" s="20">
        <f t="shared" ref="BX14:BZ14" si="708">BW14</f>
        <v>0</v>
      </c>
      <c r="BY14" s="20">
        <f t="shared" si="708"/>
        <v>0</v>
      </c>
      <c r="BZ14" s="21">
        <f t="shared" si="708"/>
        <v>0</v>
      </c>
      <c r="CA14" s="19">
        <v>0.0</v>
      </c>
      <c r="CB14" s="20">
        <f t="shared" ref="CB14:CD14" si="709">CA14</f>
        <v>0</v>
      </c>
      <c r="CC14" s="20">
        <f t="shared" si="709"/>
        <v>0</v>
      </c>
      <c r="CD14" s="21">
        <f t="shared" si="709"/>
        <v>0</v>
      </c>
      <c r="CE14" s="19">
        <v>0.0</v>
      </c>
      <c r="CF14" s="20">
        <f t="shared" ref="CF14:CH14" si="710">CE14</f>
        <v>0</v>
      </c>
      <c r="CG14" s="20">
        <f t="shared" si="710"/>
        <v>0</v>
      </c>
      <c r="CH14" s="21">
        <f t="shared" si="710"/>
        <v>0</v>
      </c>
      <c r="CI14" s="19">
        <v>0.0</v>
      </c>
      <c r="CJ14" s="20">
        <f t="shared" ref="CJ14:CL14" si="711">CI14</f>
        <v>0</v>
      </c>
      <c r="CK14" s="20">
        <f t="shared" si="711"/>
        <v>0</v>
      </c>
      <c r="CL14" s="21">
        <f t="shared" si="711"/>
        <v>0</v>
      </c>
      <c r="CM14" s="19">
        <v>0.0</v>
      </c>
      <c r="CN14" s="20">
        <f t="shared" ref="CN14:CP14" si="712">CM14</f>
        <v>0</v>
      </c>
      <c r="CO14" s="20">
        <f t="shared" si="712"/>
        <v>0</v>
      </c>
      <c r="CP14" s="21">
        <f t="shared" si="712"/>
        <v>0</v>
      </c>
      <c r="CQ14" s="19">
        <v>0.0</v>
      </c>
      <c r="CR14" s="20">
        <f t="shared" ref="CR14:CT14" si="713">CQ14</f>
        <v>0</v>
      </c>
      <c r="CS14" s="20">
        <f t="shared" si="713"/>
        <v>0</v>
      </c>
      <c r="CT14" s="21">
        <f t="shared" si="713"/>
        <v>0</v>
      </c>
      <c r="CU14" s="19">
        <v>0.0</v>
      </c>
      <c r="CV14" s="20">
        <f t="shared" ref="CV14:CX14" si="714">CU14</f>
        <v>0</v>
      </c>
      <c r="CW14" s="20">
        <f t="shared" si="714"/>
        <v>0</v>
      </c>
      <c r="CX14" s="21">
        <f t="shared" si="714"/>
        <v>0</v>
      </c>
      <c r="CY14" s="19">
        <v>0.0</v>
      </c>
      <c r="CZ14" s="20">
        <f t="shared" ref="CZ14:DB14" si="715">CY14</f>
        <v>0</v>
      </c>
      <c r="DA14" s="20">
        <f t="shared" si="715"/>
        <v>0</v>
      </c>
      <c r="DB14" s="21">
        <f t="shared" si="715"/>
        <v>0</v>
      </c>
      <c r="DC14" s="19">
        <v>0.0</v>
      </c>
      <c r="DD14" s="20">
        <f t="shared" ref="DD14:DF14" si="716">DC14</f>
        <v>0</v>
      </c>
      <c r="DE14" s="20">
        <f t="shared" si="716"/>
        <v>0</v>
      </c>
      <c r="DF14" s="21">
        <f t="shared" si="716"/>
        <v>0</v>
      </c>
      <c r="DG14" s="19">
        <v>0.0</v>
      </c>
      <c r="DH14" s="20">
        <f t="shared" ref="DH14:DJ14" si="717">DG14</f>
        <v>0</v>
      </c>
      <c r="DI14" s="20">
        <f t="shared" si="717"/>
        <v>0</v>
      </c>
      <c r="DJ14" s="21">
        <f t="shared" si="717"/>
        <v>0</v>
      </c>
      <c r="DK14" s="19">
        <v>0.0</v>
      </c>
      <c r="DL14" s="20">
        <f t="shared" ref="DL14:DN14" si="718">DK14</f>
        <v>0</v>
      </c>
      <c r="DM14" s="20">
        <f t="shared" si="718"/>
        <v>0</v>
      </c>
      <c r="DN14" s="21">
        <f t="shared" si="718"/>
        <v>0</v>
      </c>
      <c r="DO14" s="19">
        <v>0.0</v>
      </c>
      <c r="DP14" s="20">
        <f t="shared" ref="DP14:DR14" si="719">DO14</f>
        <v>0</v>
      </c>
      <c r="DQ14" s="20">
        <f t="shared" si="719"/>
        <v>0</v>
      </c>
      <c r="DR14" s="21">
        <f t="shared" si="719"/>
        <v>0</v>
      </c>
      <c r="DS14" s="19">
        <v>0.0</v>
      </c>
      <c r="DT14" s="20">
        <f t="shared" ref="DT14:DV14" si="720">DS14</f>
        <v>0</v>
      </c>
      <c r="DU14" s="20">
        <f t="shared" si="720"/>
        <v>0</v>
      </c>
      <c r="DV14" s="21">
        <f t="shared" si="720"/>
        <v>0</v>
      </c>
      <c r="DW14" s="19">
        <v>0.0</v>
      </c>
      <c r="DX14" s="20">
        <f t="shared" ref="DX14:DZ14" si="721">DW14</f>
        <v>0</v>
      </c>
      <c r="DY14" s="20">
        <f t="shared" si="721"/>
        <v>0</v>
      </c>
      <c r="DZ14" s="21">
        <f t="shared" si="721"/>
        <v>0</v>
      </c>
      <c r="EA14" s="19">
        <v>0.0</v>
      </c>
      <c r="EB14" s="20">
        <f t="shared" ref="EB14:ED14" si="722">EA14</f>
        <v>0</v>
      </c>
      <c r="EC14" s="20">
        <f t="shared" si="722"/>
        <v>0</v>
      </c>
      <c r="ED14" s="21">
        <f t="shared" si="722"/>
        <v>0</v>
      </c>
      <c r="EE14" s="19">
        <v>0.0</v>
      </c>
      <c r="EF14" s="20">
        <f t="shared" ref="EF14:EH14" si="723">EE14</f>
        <v>0</v>
      </c>
      <c r="EG14" s="20">
        <f t="shared" si="723"/>
        <v>0</v>
      </c>
      <c r="EH14" s="21">
        <f t="shared" si="723"/>
        <v>0</v>
      </c>
      <c r="EI14" s="19">
        <v>0.0</v>
      </c>
      <c r="EJ14" s="21">
        <f t="shared" ref="EJ14:EK14" si="724">EI14</f>
        <v>0</v>
      </c>
      <c r="EK14" s="21">
        <f t="shared" si="724"/>
        <v>0</v>
      </c>
      <c r="EL14" s="21">
        <f t="shared" ref="EL14:EL41" si="797">EI14</f>
        <v>0</v>
      </c>
      <c r="EM14" s="19">
        <v>0.0</v>
      </c>
      <c r="EN14" s="20">
        <f t="shared" ref="EN14:EP14" si="725">EM14</f>
        <v>0</v>
      </c>
      <c r="EO14" s="20">
        <f t="shared" si="725"/>
        <v>0</v>
      </c>
      <c r="EP14" s="21">
        <f t="shared" si="725"/>
        <v>0</v>
      </c>
      <c r="EQ14" s="19">
        <v>0.0</v>
      </c>
      <c r="ER14" s="20">
        <f t="shared" ref="ER14:ET14" si="726">EQ14</f>
        <v>0</v>
      </c>
      <c r="ES14" s="20">
        <f t="shared" si="726"/>
        <v>0</v>
      </c>
      <c r="ET14" s="21">
        <f t="shared" si="726"/>
        <v>0</v>
      </c>
      <c r="EU14" s="19">
        <v>0.0</v>
      </c>
      <c r="EV14" s="20">
        <f t="shared" ref="EV14:EX14" si="727">EU14</f>
        <v>0</v>
      </c>
      <c r="EW14" s="20">
        <f t="shared" si="727"/>
        <v>0</v>
      </c>
      <c r="EX14" s="21">
        <f t="shared" si="727"/>
        <v>0</v>
      </c>
      <c r="EY14" s="19">
        <v>0.0</v>
      </c>
      <c r="EZ14" s="20">
        <f t="shared" ref="EZ14:FB14" si="728">EY14</f>
        <v>0</v>
      </c>
      <c r="FA14" s="20">
        <f t="shared" si="728"/>
        <v>0</v>
      </c>
      <c r="FB14" s="21">
        <f t="shared" si="728"/>
        <v>0</v>
      </c>
      <c r="FC14" s="19">
        <v>0.0</v>
      </c>
      <c r="FD14" s="20">
        <f t="shared" ref="FD14:FF14" si="729">FC14</f>
        <v>0</v>
      </c>
      <c r="FE14" s="20">
        <f t="shared" si="729"/>
        <v>0</v>
      </c>
      <c r="FF14" s="21">
        <f t="shared" si="729"/>
        <v>0</v>
      </c>
      <c r="FG14" s="19">
        <v>0.0</v>
      </c>
      <c r="FH14" s="20">
        <f t="shared" ref="FH14:FJ14" si="730">FG14</f>
        <v>0</v>
      </c>
      <c r="FI14" s="20">
        <f t="shared" si="730"/>
        <v>0</v>
      </c>
      <c r="FJ14" s="21">
        <f t="shared" si="730"/>
        <v>0</v>
      </c>
      <c r="FK14" s="19">
        <v>0.0</v>
      </c>
      <c r="FL14" s="20">
        <f t="shared" ref="FL14:FN14" si="731">FK14</f>
        <v>0</v>
      </c>
      <c r="FM14" s="20">
        <f t="shared" si="731"/>
        <v>0</v>
      </c>
      <c r="FN14" s="21">
        <f t="shared" si="731"/>
        <v>0</v>
      </c>
      <c r="FO14" s="19">
        <v>0.0</v>
      </c>
      <c r="FP14" s="20">
        <f t="shared" ref="FP14:FR14" si="732">FO14</f>
        <v>0</v>
      </c>
      <c r="FQ14" s="20">
        <f t="shared" si="732"/>
        <v>0</v>
      </c>
      <c r="FR14" s="21">
        <f t="shared" si="732"/>
        <v>0</v>
      </c>
      <c r="FS14" s="19">
        <v>0.0</v>
      </c>
      <c r="FT14" s="20">
        <f t="shared" ref="FT14:FV14" si="733">FS14</f>
        <v>0</v>
      </c>
      <c r="FU14" s="20">
        <f t="shared" si="733"/>
        <v>0</v>
      </c>
      <c r="FV14" s="21">
        <f t="shared" si="733"/>
        <v>0</v>
      </c>
      <c r="FW14" s="19">
        <v>0.0</v>
      </c>
      <c r="FX14" s="20">
        <f t="shared" ref="FX14:FZ14" si="734">FW14</f>
        <v>0</v>
      </c>
      <c r="FY14" s="20">
        <f t="shared" si="734"/>
        <v>0</v>
      </c>
      <c r="FZ14" s="21">
        <f t="shared" si="734"/>
        <v>0</v>
      </c>
      <c r="GA14" s="19">
        <v>0.0</v>
      </c>
      <c r="GB14" s="20">
        <f t="shared" ref="GB14:GD14" si="735">GA14</f>
        <v>0</v>
      </c>
      <c r="GC14" s="20">
        <f t="shared" si="735"/>
        <v>0</v>
      </c>
      <c r="GD14" s="21">
        <f t="shared" si="735"/>
        <v>0</v>
      </c>
      <c r="GE14" s="19">
        <v>0.0</v>
      </c>
      <c r="GF14" s="20">
        <f t="shared" ref="GF14:GH14" si="736">GE14</f>
        <v>0</v>
      </c>
      <c r="GG14" s="20">
        <f t="shared" si="736"/>
        <v>0</v>
      </c>
      <c r="GH14" s="21">
        <f t="shared" si="736"/>
        <v>0</v>
      </c>
      <c r="GI14" s="19">
        <v>0.0</v>
      </c>
      <c r="GJ14" s="20">
        <f t="shared" ref="GJ14:GL14" si="737">GI14</f>
        <v>0</v>
      </c>
      <c r="GK14" s="20">
        <f t="shared" si="737"/>
        <v>0</v>
      </c>
      <c r="GL14" s="20">
        <f t="shared" si="737"/>
        <v>0</v>
      </c>
      <c r="GM14" s="22">
        <v>0.0</v>
      </c>
      <c r="GN14" s="20">
        <f t="shared" ref="GN14:GP14" si="738">GM14</f>
        <v>0</v>
      </c>
      <c r="GO14" s="20">
        <f t="shared" si="738"/>
        <v>0</v>
      </c>
      <c r="GP14" s="21">
        <f t="shared" si="738"/>
        <v>0</v>
      </c>
      <c r="GQ14" s="19">
        <v>0.0</v>
      </c>
      <c r="GR14" s="20">
        <f t="shared" ref="GR14:GT14" si="739">GQ14</f>
        <v>0</v>
      </c>
      <c r="GS14" s="20">
        <f t="shared" si="739"/>
        <v>0</v>
      </c>
      <c r="GT14" s="21">
        <f t="shared" si="739"/>
        <v>0</v>
      </c>
      <c r="GU14" s="19">
        <v>0.0</v>
      </c>
      <c r="GV14" s="20">
        <f t="shared" ref="GV14:GX14" si="740">GU14</f>
        <v>0</v>
      </c>
      <c r="GW14" s="20">
        <f t="shared" si="740"/>
        <v>0</v>
      </c>
      <c r="GX14" s="21">
        <f t="shared" si="740"/>
        <v>0</v>
      </c>
      <c r="GY14" s="19">
        <v>0.0</v>
      </c>
      <c r="GZ14" s="20">
        <f t="shared" ref="GZ14:HB14" si="741">GY14</f>
        <v>0</v>
      </c>
      <c r="HA14" s="20">
        <f t="shared" si="741"/>
        <v>0</v>
      </c>
      <c r="HB14" s="21">
        <f t="shared" si="741"/>
        <v>0</v>
      </c>
      <c r="HC14" s="19">
        <v>0.0</v>
      </c>
      <c r="HD14" s="20">
        <f t="shared" ref="HD14:HF14" si="742">HC14</f>
        <v>0</v>
      </c>
      <c r="HE14" s="20">
        <f t="shared" si="742"/>
        <v>0</v>
      </c>
      <c r="HF14" s="21">
        <f t="shared" si="742"/>
        <v>0</v>
      </c>
      <c r="HG14" s="19">
        <v>0.0</v>
      </c>
      <c r="HH14" s="20">
        <f t="shared" ref="HH14:HJ14" si="743">HG14</f>
        <v>0</v>
      </c>
      <c r="HI14" s="20">
        <f t="shared" si="743"/>
        <v>0</v>
      </c>
      <c r="HJ14" s="21">
        <f t="shared" si="743"/>
        <v>0</v>
      </c>
      <c r="HK14" s="19">
        <v>0.0</v>
      </c>
      <c r="HL14" s="20">
        <f t="shared" ref="HL14:HN14" si="744">HK14</f>
        <v>0</v>
      </c>
      <c r="HM14" s="20">
        <f t="shared" si="744"/>
        <v>0</v>
      </c>
      <c r="HN14" s="21">
        <f t="shared" si="744"/>
        <v>0</v>
      </c>
      <c r="HO14" s="19">
        <v>0.0</v>
      </c>
      <c r="HP14" s="20">
        <f t="shared" ref="HP14:HR14" si="745">HO14</f>
        <v>0</v>
      </c>
      <c r="HQ14" s="20">
        <f t="shared" si="745"/>
        <v>0</v>
      </c>
      <c r="HR14" s="21">
        <f t="shared" si="745"/>
        <v>0</v>
      </c>
      <c r="HS14" s="19">
        <v>0.0</v>
      </c>
      <c r="HT14" s="20">
        <f t="shared" ref="HT14:HV14" si="746">HS14</f>
        <v>0</v>
      </c>
      <c r="HU14" s="20">
        <f t="shared" si="746"/>
        <v>0</v>
      </c>
      <c r="HV14" s="21">
        <f t="shared" si="746"/>
        <v>0</v>
      </c>
      <c r="HW14" s="19">
        <v>0.0</v>
      </c>
      <c r="HX14" s="20">
        <f t="shared" ref="HX14:HZ14" si="747">HW14</f>
        <v>0</v>
      </c>
      <c r="HY14" s="20">
        <f t="shared" si="747"/>
        <v>0</v>
      </c>
      <c r="HZ14" s="21">
        <f t="shared" si="747"/>
        <v>0</v>
      </c>
      <c r="IA14" s="19">
        <v>0.0</v>
      </c>
      <c r="IB14" s="20">
        <f t="shared" ref="IB14:ID14" si="748">IA14</f>
        <v>0</v>
      </c>
      <c r="IC14" s="20">
        <f t="shared" si="748"/>
        <v>0</v>
      </c>
      <c r="ID14" s="21">
        <f t="shared" si="748"/>
        <v>0</v>
      </c>
      <c r="IE14" s="19">
        <v>0.0</v>
      </c>
      <c r="IF14" s="20">
        <f t="shared" ref="IF14:IH14" si="749">IE14</f>
        <v>0</v>
      </c>
      <c r="IG14" s="20">
        <f t="shared" si="749"/>
        <v>0</v>
      </c>
      <c r="IH14" s="21">
        <f t="shared" si="749"/>
        <v>0</v>
      </c>
      <c r="II14" s="19">
        <v>0.0</v>
      </c>
      <c r="IJ14" s="20">
        <f t="shared" ref="IJ14:IL14" si="750">II14</f>
        <v>0</v>
      </c>
      <c r="IK14" s="20">
        <f t="shared" si="750"/>
        <v>0</v>
      </c>
      <c r="IL14" s="20">
        <f t="shared" si="750"/>
        <v>0</v>
      </c>
      <c r="IM14" s="35">
        <v>0.0</v>
      </c>
      <c r="IN14" s="20">
        <f t="shared" ref="IN14:IP14" si="751">IM14</f>
        <v>0</v>
      </c>
      <c r="IO14" s="20">
        <f t="shared" si="751"/>
        <v>0</v>
      </c>
      <c r="IP14" s="21">
        <f t="shared" si="751"/>
        <v>0</v>
      </c>
      <c r="IQ14" s="19">
        <v>0.0</v>
      </c>
      <c r="IR14" s="20">
        <f t="shared" ref="IR14:IT14" si="752">IQ14</f>
        <v>0</v>
      </c>
      <c r="IS14" s="20">
        <f t="shared" si="752"/>
        <v>0</v>
      </c>
      <c r="IT14" s="21">
        <f t="shared" si="752"/>
        <v>0</v>
      </c>
      <c r="IU14" s="19">
        <v>0.0</v>
      </c>
      <c r="IV14" s="20">
        <f t="shared" ref="IV14:IX14" si="753">IU14</f>
        <v>0</v>
      </c>
      <c r="IW14" s="20">
        <f t="shared" si="753"/>
        <v>0</v>
      </c>
      <c r="IX14" s="21">
        <f t="shared" si="753"/>
        <v>0</v>
      </c>
      <c r="IY14" s="19">
        <v>0.0</v>
      </c>
      <c r="IZ14" s="20">
        <f t="shared" ref="IZ14:JB14" si="754">IY14</f>
        <v>0</v>
      </c>
      <c r="JA14" s="20">
        <f t="shared" si="754"/>
        <v>0</v>
      </c>
      <c r="JB14" s="21">
        <f t="shared" si="754"/>
        <v>0</v>
      </c>
      <c r="JC14" s="19">
        <v>0.0</v>
      </c>
      <c r="JD14" s="20">
        <f t="shared" ref="JD14:JF14" si="755">JC14</f>
        <v>0</v>
      </c>
      <c r="JE14" s="20">
        <f t="shared" si="755"/>
        <v>0</v>
      </c>
      <c r="JF14" s="20">
        <f t="shared" si="755"/>
        <v>0</v>
      </c>
      <c r="JG14" s="19">
        <v>0.0</v>
      </c>
      <c r="JH14" s="20">
        <f t="shared" ref="JH14:JJ14" si="756">JG14</f>
        <v>0</v>
      </c>
      <c r="JI14" s="20">
        <f t="shared" si="756"/>
        <v>0</v>
      </c>
      <c r="JJ14" s="21">
        <f t="shared" si="756"/>
        <v>0</v>
      </c>
      <c r="JK14" s="19">
        <v>0.0</v>
      </c>
      <c r="JL14" s="20">
        <f t="shared" ref="JL14:JN14" si="757">JK14</f>
        <v>0</v>
      </c>
      <c r="JM14" s="20">
        <f t="shared" si="757"/>
        <v>0</v>
      </c>
      <c r="JN14" s="21">
        <f t="shared" si="757"/>
        <v>0</v>
      </c>
      <c r="JO14" s="19">
        <v>0.0</v>
      </c>
      <c r="JP14" s="20">
        <f t="shared" ref="JP14:JR14" si="758">JO14</f>
        <v>0</v>
      </c>
      <c r="JQ14" s="20">
        <f t="shared" si="758"/>
        <v>0</v>
      </c>
      <c r="JR14" s="21">
        <f t="shared" si="758"/>
        <v>0</v>
      </c>
      <c r="JS14" s="19">
        <v>0.0</v>
      </c>
      <c r="JT14" s="20">
        <f t="shared" ref="JT14:JV14" si="759">JS14</f>
        <v>0</v>
      </c>
      <c r="JU14" s="20">
        <f t="shared" si="759"/>
        <v>0</v>
      </c>
      <c r="JV14" s="21">
        <f t="shared" si="759"/>
        <v>0</v>
      </c>
      <c r="JW14" s="19">
        <v>0.0</v>
      </c>
      <c r="JX14" s="20">
        <f t="shared" ref="JX14:JZ14" si="760">JW14</f>
        <v>0</v>
      </c>
      <c r="JY14" s="20">
        <f t="shared" si="760"/>
        <v>0</v>
      </c>
      <c r="JZ14" s="21">
        <f t="shared" si="760"/>
        <v>0</v>
      </c>
    </row>
    <row r="15" ht="15.75" customHeight="1">
      <c r="A15" s="24" t="s">
        <v>93</v>
      </c>
      <c r="B15" s="17"/>
      <c r="C15" s="19">
        <v>0.0</v>
      </c>
      <c r="D15" s="20">
        <f t="shared" ref="D15:F15" si="761">C15</f>
        <v>0</v>
      </c>
      <c r="E15" s="20">
        <f t="shared" si="761"/>
        <v>0</v>
      </c>
      <c r="F15" s="21">
        <f t="shared" si="761"/>
        <v>0</v>
      </c>
      <c r="G15" s="19">
        <v>0.0</v>
      </c>
      <c r="H15" s="20">
        <f t="shared" ref="H15:J15" si="762">G15</f>
        <v>0</v>
      </c>
      <c r="I15" s="20">
        <f t="shared" si="762"/>
        <v>0</v>
      </c>
      <c r="J15" s="21">
        <f t="shared" si="762"/>
        <v>0</v>
      </c>
      <c r="K15" s="19">
        <v>0.0</v>
      </c>
      <c r="L15" s="20">
        <f t="shared" ref="L15:N15" si="763">K15</f>
        <v>0</v>
      </c>
      <c r="M15" s="20">
        <f t="shared" si="763"/>
        <v>0</v>
      </c>
      <c r="N15" s="21">
        <f t="shared" si="763"/>
        <v>0</v>
      </c>
      <c r="O15" s="19">
        <v>0.0</v>
      </c>
      <c r="P15" s="20">
        <f t="shared" ref="P15:R15" si="764">O15</f>
        <v>0</v>
      </c>
      <c r="Q15" s="20">
        <f t="shared" si="764"/>
        <v>0</v>
      </c>
      <c r="R15" s="21">
        <f t="shared" si="764"/>
        <v>0</v>
      </c>
      <c r="S15" s="19">
        <v>0.0</v>
      </c>
      <c r="T15" s="20">
        <f t="shared" ref="T15:V15" si="765">S15</f>
        <v>0</v>
      </c>
      <c r="U15" s="20">
        <f t="shared" si="765"/>
        <v>0</v>
      </c>
      <c r="V15" s="21">
        <f t="shared" si="765"/>
        <v>0</v>
      </c>
      <c r="W15" s="36">
        <v>0.0</v>
      </c>
      <c r="X15" s="20">
        <f t="shared" ref="X15:Z15" si="766">W15</f>
        <v>0</v>
      </c>
      <c r="Y15" s="20">
        <f t="shared" si="766"/>
        <v>0</v>
      </c>
      <c r="Z15" s="21">
        <f t="shared" si="766"/>
        <v>0</v>
      </c>
      <c r="AA15" s="19">
        <v>0.0</v>
      </c>
      <c r="AB15" s="20">
        <f t="shared" ref="AB15:AD15" si="767">AA15</f>
        <v>0</v>
      </c>
      <c r="AC15" s="20">
        <f t="shared" si="767"/>
        <v>0</v>
      </c>
      <c r="AD15" s="21">
        <f t="shared" si="767"/>
        <v>0</v>
      </c>
      <c r="AE15" s="19">
        <v>0.0</v>
      </c>
      <c r="AF15" s="20">
        <f t="shared" ref="AF15:AH15" si="768">AE15</f>
        <v>0</v>
      </c>
      <c r="AG15" s="20">
        <f t="shared" si="768"/>
        <v>0</v>
      </c>
      <c r="AH15" s="21">
        <f t="shared" si="768"/>
        <v>0</v>
      </c>
      <c r="AI15" s="19">
        <v>0.0</v>
      </c>
      <c r="AJ15" s="20">
        <f t="shared" ref="AJ15:AL15" si="769">AI15</f>
        <v>0</v>
      </c>
      <c r="AK15" s="20">
        <f t="shared" si="769"/>
        <v>0</v>
      </c>
      <c r="AL15" s="21">
        <f t="shared" si="769"/>
        <v>0</v>
      </c>
      <c r="AM15" s="19">
        <v>0.0</v>
      </c>
      <c r="AN15" s="20">
        <f t="shared" ref="AN15:AP15" si="770">AM15</f>
        <v>0</v>
      </c>
      <c r="AO15" s="20">
        <f t="shared" si="770"/>
        <v>0</v>
      </c>
      <c r="AP15" s="21">
        <f t="shared" si="770"/>
        <v>0</v>
      </c>
      <c r="AQ15" s="19">
        <v>0.0</v>
      </c>
      <c r="AR15" s="20">
        <f t="shared" ref="AR15:AT15" si="771">AQ15</f>
        <v>0</v>
      </c>
      <c r="AS15" s="20">
        <f t="shared" si="771"/>
        <v>0</v>
      </c>
      <c r="AT15" s="21">
        <f t="shared" si="771"/>
        <v>0</v>
      </c>
      <c r="AU15" s="19">
        <v>0.0</v>
      </c>
      <c r="AV15" s="20">
        <f t="shared" ref="AV15:AX15" si="772">AU15</f>
        <v>0</v>
      </c>
      <c r="AW15" s="20">
        <f t="shared" si="772"/>
        <v>0</v>
      </c>
      <c r="AX15" s="21">
        <f t="shared" si="772"/>
        <v>0</v>
      </c>
      <c r="AY15" s="19">
        <v>1620.0</v>
      </c>
      <c r="AZ15" s="20">
        <f t="shared" ref="AZ15:BB15" si="773">AY15</f>
        <v>1620</v>
      </c>
      <c r="BA15" s="20">
        <f t="shared" si="773"/>
        <v>1620</v>
      </c>
      <c r="BB15" s="21">
        <f t="shared" si="773"/>
        <v>1620</v>
      </c>
      <c r="BC15" s="19">
        <v>0.0</v>
      </c>
      <c r="BD15" s="20">
        <f t="shared" ref="BD15:BF15" si="774">BC15</f>
        <v>0</v>
      </c>
      <c r="BE15" s="20">
        <f t="shared" si="774"/>
        <v>0</v>
      </c>
      <c r="BF15" s="21">
        <f t="shared" si="774"/>
        <v>0</v>
      </c>
      <c r="BG15" s="19">
        <v>0.0</v>
      </c>
      <c r="BH15" s="20">
        <f t="shared" ref="BH15:BJ15" si="775">BG15</f>
        <v>0</v>
      </c>
      <c r="BI15" s="20">
        <f t="shared" si="775"/>
        <v>0</v>
      </c>
      <c r="BJ15" s="21">
        <f t="shared" si="775"/>
        <v>0</v>
      </c>
      <c r="BK15" s="19">
        <v>81600.0</v>
      </c>
      <c r="BL15" s="20">
        <f t="shared" ref="BL15:BN15" si="776">BK15</f>
        <v>81600</v>
      </c>
      <c r="BM15" s="20">
        <f t="shared" si="776"/>
        <v>81600</v>
      </c>
      <c r="BN15" s="21">
        <f t="shared" si="776"/>
        <v>81600</v>
      </c>
      <c r="BO15" s="19">
        <v>0.0</v>
      </c>
      <c r="BP15" s="20">
        <f t="shared" ref="BP15:BR15" si="777">BO15</f>
        <v>0</v>
      </c>
      <c r="BQ15" s="20">
        <f t="shared" si="777"/>
        <v>0</v>
      </c>
      <c r="BR15" s="21">
        <f t="shared" si="777"/>
        <v>0</v>
      </c>
      <c r="BS15" s="19">
        <v>0.0</v>
      </c>
      <c r="BT15" s="20">
        <f t="shared" si="778"/>
        <v>0</v>
      </c>
      <c r="BU15" s="20">
        <f t="shared" ref="BU15:BV15" si="779">BT15</f>
        <v>0</v>
      </c>
      <c r="BV15" s="21">
        <f t="shared" si="779"/>
        <v>0</v>
      </c>
      <c r="BW15" s="19">
        <v>0.0</v>
      </c>
      <c r="BX15" s="20">
        <f t="shared" ref="BX15:BZ15" si="780">BW15</f>
        <v>0</v>
      </c>
      <c r="BY15" s="20">
        <f t="shared" si="780"/>
        <v>0</v>
      </c>
      <c r="BZ15" s="21">
        <f t="shared" si="780"/>
        <v>0</v>
      </c>
      <c r="CA15" s="19">
        <v>0.0</v>
      </c>
      <c r="CB15" s="20">
        <f t="shared" ref="CB15:CD15" si="781">CA15</f>
        <v>0</v>
      </c>
      <c r="CC15" s="20">
        <f t="shared" si="781"/>
        <v>0</v>
      </c>
      <c r="CD15" s="21">
        <f t="shared" si="781"/>
        <v>0</v>
      </c>
      <c r="CE15" s="19">
        <v>0.0</v>
      </c>
      <c r="CF15" s="20">
        <f t="shared" ref="CF15:CH15" si="782">CE15</f>
        <v>0</v>
      </c>
      <c r="CG15" s="20">
        <f t="shared" si="782"/>
        <v>0</v>
      </c>
      <c r="CH15" s="21">
        <f t="shared" si="782"/>
        <v>0</v>
      </c>
      <c r="CI15" s="19">
        <v>0.0</v>
      </c>
      <c r="CJ15" s="20">
        <f t="shared" ref="CJ15:CL15" si="783">CI15</f>
        <v>0</v>
      </c>
      <c r="CK15" s="20">
        <f t="shared" si="783"/>
        <v>0</v>
      </c>
      <c r="CL15" s="21">
        <f t="shared" si="783"/>
        <v>0</v>
      </c>
      <c r="CM15" s="19">
        <v>0.0</v>
      </c>
      <c r="CN15" s="20">
        <f t="shared" ref="CN15:CP15" si="784">CM15</f>
        <v>0</v>
      </c>
      <c r="CO15" s="20">
        <f t="shared" si="784"/>
        <v>0</v>
      </c>
      <c r="CP15" s="21">
        <f t="shared" si="784"/>
        <v>0</v>
      </c>
      <c r="CQ15" s="19">
        <v>0.0</v>
      </c>
      <c r="CR15" s="20">
        <f t="shared" ref="CR15:CT15" si="785">CQ15</f>
        <v>0</v>
      </c>
      <c r="CS15" s="20">
        <f t="shared" si="785"/>
        <v>0</v>
      </c>
      <c r="CT15" s="21">
        <f t="shared" si="785"/>
        <v>0</v>
      </c>
      <c r="CU15" s="19">
        <v>0.0</v>
      </c>
      <c r="CV15" s="20">
        <f t="shared" ref="CV15:CX15" si="786">CU15</f>
        <v>0</v>
      </c>
      <c r="CW15" s="20">
        <f t="shared" si="786"/>
        <v>0</v>
      </c>
      <c r="CX15" s="21">
        <f t="shared" si="786"/>
        <v>0</v>
      </c>
      <c r="CY15" s="19">
        <v>0.0</v>
      </c>
      <c r="CZ15" s="20">
        <f t="shared" ref="CZ15:DB15" si="787">CY15</f>
        <v>0</v>
      </c>
      <c r="DA15" s="20">
        <f t="shared" si="787"/>
        <v>0</v>
      </c>
      <c r="DB15" s="21">
        <f t="shared" si="787"/>
        <v>0</v>
      </c>
      <c r="DC15" s="19">
        <v>0.0</v>
      </c>
      <c r="DD15" s="20">
        <f t="shared" ref="DD15:DF15" si="788">DC15</f>
        <v>0</v>
      </c>
      <c r="DE15" s="20">
        <f t="shared" si="788"/>
        <v>0</v>
      </c>
      <c r="DF15" s="21">
        <f t="shared" si="788"/>
        <v>0</v>
      </c>
      <c r="DG15" s="19">
        <v>0.0</v>
      </c>
      <c r="DH15" s="20">
        <f t="shared" ref="DH15:DJ15" si="789">DG15</f>
        <v>0</v>
      </c>
      <c r="DI15" s="20">
        <f t="shared" si="789"/>
        <v>0</v>
      </c>
      <c r="DJ15" s="21">
        <f t="shared" si="789"/>
        <v>0</v>
      </c>
      <c r="DK15" s="19">
        <v>0.0</v>
      </c>
      <c r="DL15" s="20">
        <f t="shared" ref="DL15:DN15" si="790">DK15</f>
        <v>0</v>
      </c>
      <c r="DM15" s="20">
        <f t="shared" si="790"/>
        <v>0</v>
      </c>
      <c r="DN15" s="21">
        <f t="shared" si="790"/>
        <v>0</v>
      </c>
      <c r="DO15" s="19">
        <v>0.0</v>
      </c>
      <c r="DP15" s="20">
        <f t="shared" ref="DP15:DR15" si="791">DO15</f>
        <v>0</v>
      </c>
      <c r="DQ15" s="20">
        <f t="shared" si="791"/>
        <v>0</v>
      </c>
      <c r="DR15" s="21">
        <f t="shared" si="791"/>
        <v>0</v>
      </c>
      <c r="DS15" s="19">
        <v>0.0</v>
      </c>
      <c r="DT15" s="20">
        <f t="shared" ref="DT15:DV15" si="792">DS15</f>
        <v>0</v>
      </c>
      <c r="DU15" s="20">
        <f t="shared" si="792"/>
        <v>0</v>
      </c>
      <c r="DV15" s="21">
        <f t="shared" si="792"/>
        <v>0</v>
      </c>
      <c r="DW15" s="19">
        <v>0.0</v>
      </c>
      <c r="DX15" s="20">
        <f t="shared" ref="DX15:DZ15" si="793">DW15</f>
        <v>0</v>
      </c>
      <c r="DY15" s="20">
        <f t="shared" si="793"/>
        <v>0</v>
      </c>
      <c r="DZ15" s="21">
        <f t="shared" si="793"/>
        <v>0</v>
      </c>
      <c r="EA15" s="19">
        <v>0.0</v>
      </c>
      <c r="EB15" s="20">
        <f t="shared" ref="EB15:ED15" si="794">EA15</f>
        <v>0</v>
      </c>
      <c r="EC15" s="20">
        <f t="shared" si="794"/>
        <v>0</v>
      </c>
      <c r="ED15" s="21">
        <f t="shared" si="794"/>
        <v>0</v>
      </c>
      <c r="EE15" s="19">
        <v>0.0</v>
      </c>
      <c r="EF15" s="20">
        <f t="shared" ref="EF15:EH15" si="795">EE15</f>
        <v>0</v>
      </c>
      <c r="EG15" s="20">
        <f t="shared" si="795"/>
        <v>0</v>
      </c>
      <c r="EH15" s="21">
        <f t="shared" si="795"/>
        <v>0</v>
      </c>
      <c r="EI15" s="19">
        <v>0.0</v>
      </c>
      <c r="EJ15" s="21">
        <f t="shared" ref="EJ15:EK15" si="796">EI15</f>
        <v>0</v>
      </c>
      <c r="EK15" s="21">
        <f t="shared" si="796"/>
        <v>0</v>
      </c>
      <c r="EL15" s="21">
        <f t="shared" si="797"/>
        <v>0</v>
      </c>
      <c r="EM15" s="19">
        <v>0.0</v>
      </c>
      <c r="EN15" s="20">
        <f t="shared" ref="EN15:EP15" si="798">EM15</f>
        <v>0</v>
      </c>
      <c r="EO15" s="20">
        <f t="shared" si="798"/>
        <v>0</v>
      </c>
      <c r="EP15" s="21">
        <f t="shared" si="798"/>
        <v>0</v>
      </c>
      <c r="EQ15" s="19">
        <v>0.0</v>
      </c>
      <c r="ER15" s="20">
        <f t="shared" ref="ER15:ET15" si="799">EQ15</f>
        <v>0</v>
      </c>
      <c r="ES15" s="20">
        <f t="shared" si="799"/>
        <v>0</v>
      </c>
      <c r="ET15" s="21">
        <f t="shared" si="799"/>
        <v>0</v>
      </c>
      <c r="EU15" s="19">
        <v>0.0</v>
      </c>
      <c r="EV15" s="20">
        <f t="shared" ref="EV15:EX15" si="800">EU15</f>
        <v>0</v>
      </c>
      <c r="EW15" s="20">
        <f t="shared" si="800"/>
        <v>0</v>
      </c>
      <c r="EX15" s="21">
        <f t="shared" si="800"/>
        <v>0</v>
      </c>
      <c r="EY15" s="19">
        <v>0.0</v>
      </c>
      <c r="EZ15" s="20">
        <f t="shared" ref="EZ15:FB15" si="801">EY15</f>
        <v>0</v>
      </c>
      <c r="FA15" s="20">
        <f t="shared" si="801"/>
        <v>0</v>
      </c>
      <c r="FB15" s="21">
        <f t="shared" si="801"/>
        <v>0</v>
      </c>
      <c r="FC15" s="19">
        <v>0.0</v>
      </c>
      <c r="FD15" s="20">
        <f t="shared" ref="FD15:FF15" si="802">FC15</f>
        <v>0</v>
      </c>
      <c r="FE15" s="20">
        <f t="shared" si="802"/>
        <v>0</v>
      </c>
      <c r="FF15" s="21">
        <f t="shared" si="802"/>
        <v>0</v>
      </c>
      <c r="FG15" s="19">
        <v>0.0</v>
      </c>
      <c r="FH15" s="20">
        <f t="shared" ref="FH15:FJ15" si="803">FG15</f>
        <v>0</v>
      </c>
      <c r="FI15" s="20">
        <f t="shared" si="803"/>
        <v>0</v>
      </c>
      <c r="FJ15" s="21">
        <f t="shared" si="803"/>
        <v>0</v>
      </c>
      <c r="FK15" s="19">
        <v>0.0</v>
      </c>
      <c r="FL15" s="20">
        <f t="shared" ref="FL15:FN15" si="804">FK15</f>
        <v>0</v>
      </c>
      <c r="FM15" s="20">
        <f t="shared" si="804"/>
        <v>0</v>
      </c>
      <c r="FN15" s="21">
        <f t="shared" si="804"/>
        <v>0</v>
      </c>
      <c r="FO15" s="19">
        <v>0.0</v>
      </c>
      <c r="FP15" s="20">
        <f t="shared" ref="FP15:FR15" si="805">FO15</f>
        <v>0</v>
      </c>
      <c r="FQ15" s="20">
        <f t="shared" si="805"/>
        <v>0</v>
      </c>
      <c r="FR15" s="21">
        <f t="shared" si="805"/>
        <v>0</v>
      </c>
      <c r="FS15" s="19">
        <v>0.0</v>
      </c>
      <c r="FT15" s="20">
        <f t="shared" ref="FT15:FV15" si="806">FS15</f>
        <v>0</v>
      </c>
      <c r="FU15" s="20">
        <f t="shared" si="806"/>
        <v>0</v>
      </c>
      <c r="FV15" s="21">
        <f t="shared" si="806"/>
        <v>0</v>
      </c>
      <c r="FW15" s="19">
        <v>0.0</v>
      </c>
      <c r="FX15" s="20">
        <f t="shared" ref="FX15:FZ15" si="807">FW15</f>
        <v>0</v>
      </c>
      <c r="FY15" s="20">
        <f t="shared" si="807"/>
        <v>0</v>
      </c>
      <c r="FZ15" s="21">
        <f t="shared" si="807"/>
        <v>0</v>
      </c>
      <c r="GA15" s="19">
        <v>0.0</v>
      </c>
      <c r="GB15" s="20">
        <f t="shared" ref="GB15:GD15" si="808">GA15</f>
        <v>0</v>
      </c>
      <c r="GC15" s="20">
        <f t="shared" si="808"/>
        <v>0</v>
      </c>
      <c r="GD15" s="21">
        <f t="shared" si="808"/>
        <v>0</v>
      </c>
      <c r="GE15" s="19">
        <v>0.0</v>
      </c>
      <c r="GF15" s="20">
        <f t="shared" ref="GF15:GH15" si="809">GE15</f>
        <v>0</v>
      </c>
      <c r="GG15" s="20">
        <f t="shared" si="809"/>
        <v>0</v>
      </c>
      <c r="GH15" s="21">
        <f t="shared" si="809"/>
        <v>0</v>
      </c>
      <c r="GI15" s="19">
        <v>0.0</v>
      </c>
      <c r="GJ15" s="20">
        <f t="shared" ref="GJ15:GL15" si="810">GI15</f>
        <v>0</v>
      </c>
      <c r="GK15" s="20">
        <f t="shared" si="810"/>
        <v>0</v>
      </c>
      <c r="GL15" s="20">
        <f t="shared" si="810"/>
        <v>0</v>
      </c>
      <c r="GM15" s="22">
        <v>0.0</v>
      </c>
      <c r="GN15" s="20">
        <f t="shared" ref="GN15:GP15" si="811">GM15</f>
        <v>0</v>
      </c>
      <c r="GO15" s="20">
        <f t="shared" si="811"/>
        <v>0</v>
      </c>
      <c r="GP15" s="21">
        <f t="shared" si="811"/>
        <v>0</v>
      </c>
      <c r="GQ15" s="19">
        <v>0.0</v>
      </c>
      <c r="GR15" s="20">
        <f t="shared" ref="GR15:GT15" si="812">GQ15</f>
        <v>0</v>
      </c>
      <c r="GS15" s="20">
        <f t="shared" si="812"/>
        <v>0</v>
      </c>
      <c r="GT15" s="21">
        <f t="shared" si="812"/>
        <v>0</v>
      </c>
      <c r="GU15" s="19">
        <v>0.0</v>
      </c>
      <c r="GV15" s="20">
        <f t="shared" ref="GV15:GX15" si="813">GU15</f>
        <v>0</v>
      </c>
      <c r="GW15" s="20">
        <f t="shared" si="813"/>
        <v>0</v>
      </c>
      <c r="GX15" s="21">
        <f t="shared" si="813"/>
        <v>0</v>
      </c>
      <c r="GY15" s="19">
        <v>0.0</v>
      </c>
      <c r="GZ15" s="20">
        <f t="shared" ref="GZ15:HB15" si="814">GY15</f>
        <v>0</v>
      </c>
      <c r="HA15" s="20">
        <f t="shared" si="814"/>
        <v>0</v>
      </c>
      <c r="HB15" s="21">
        <f t="shared" si="814"/>
        <v>0</v>
      </c>
      <c r="HC15" s="19">
        <v>0.0</v>
      </c>
      <c r="HD15" s="20">
        <f t="shared" ref="HD15:HF15" si="815">HC15</f>
        <v>0</v>
      </c>
      <c r="HE15" s="20">
        <f t="shared" si="815"/>
        <v>0</v>
      </c>
      <c r="HF15" s="21">
        <f t="shared" si="815"/>
        <v>0</v>
      </c>
      <c r="HG15" s="19">
        <v>0.0</v>
      </c>
      <c r="HH15" s="20">
        <f t="shared" ref="HH15:HJ15" si="816">HG15</f>
        <v>0</v>
      </c>
      <c r="HI15" s="20">
        <f t="shared" si="816"/>
        <v>0</v>
      </c>
      <c r="HJ15" s="21">
        <f t="shared" si="816"/>
        <v>0</v>
      </c>
      <c r="HK15" s="19">
        <v>0.0</v>
      </c>
      <c r="HL15" s="20">
        <f t="shared" ref="HL15:HN15" si="817">HK15</f>
        <v>0</v>
      </c>
      <c r="HM15" s="20">
        <f t="shared" si="817"/>
        <v>0</v>
      </c>
      <c r="HN15" s="21">
        <f t="shared" si="817"/>
        <v>0</v>
      </c>
      <c r="HO15" s="19">
        <v>0.0</v>
      </c>
      <c r="HP15" s="20">
        <f t="shared" ref="HP15:HR15" si="818">HO15</f>
        <v>0</v>
      </c>
      <c r="HQ15" s="20">
        <f t="shared" si="818"/>
        <v>0</v>
      </c>
      <c r="HR15" s="21">
        <f t="shared" si="818"/>
        <v>0</v>
      </c>
      <c r="HS15" s="19">
        <v>0.0</v>
      </c>
      <c r="HT15" s="20">
        <f t="shared" ref="HT15:HV15" si="819">HS15</f>
        <v>0</v>
      </c>
      <c r="HU15" s="20">
        <f t="shared" si="819"/>
        <v>0</v>
      </c>
      <c r="HV15" s="21">
        <f t="shared" si="819"/>
        <v>0</v>
      </c>
      <c r="HW15" s="19">
        <v>0.0</v>
      </c>
      <c r="HX15" s="20">
        <f t="shared" ref="HX15:HZ15" si="820">HW15</f>
        <v>0</v>
      </c>
      <c r="HY15" s="20">
        <f t="shared" si="820"/>
        <v>0</v>
      </c>
      <c r="HZ15" s="21">
        <f t="shared" si="820"/>
        <v>0</v>
      </c>
      <c r="IA15" s="19">
        <v>0.0</v>
      </c>
      <c r="IB15" s="20">
        <f t="shared" ref="IB15:ID15" si="821">IA15</f>
        <v>0</v>
      </c>
      <c r="IC15" s="20">
        <f t="shared" si="821"/>
        <v>0</v>
      </c>
      <c r="ID15" s="21">
        <f t="shared" si="821"/>
        <v>0</v>
      </c>
      <c r="IE15" s="19">
        <v>0.0</v>
      </c>
      <c r="IF15" s="20">
        <f t="shared" ref="IF15:IH15" si="822">IE15</f>
        <v>0</v>
      </c>
      <c r="IG15" s="20">
        <f t="shared" si="822"/>
        <v>0</v>
      </c>
      <c r="IH15" s="21">
        <f t="shared" si="822"/>
        <v>0</v>
      </c>
      <c r="II15" s="19">
        <v>0.0</v>
      </c>
      <c r="IJ15" s="20">
        <f t="shared" ref="IJ15:IL15" si="823">II15</f>
        <v>0</v>
      </c>
      <c r="IK15" s="20">
        <f t="shared" si="823"/>
        <v>0</v>
      </c>
      <c r="IL15" s="20">
        <f t="shared" si="823"/>
        <v>0</v>
      </c>
      <c r="IM15" s="35">
        <v>0.0</v>
      </c>
      <c r="IN15" s="20">
        <f t="shared" ref="IN15:IP15" si="824">IM15</f>
        <v>0</v>
      </c>
      <c r="IO15" s="20">
        <f t="shared" si="824"/>
        <v>0</v>
      </c>
      <c r="IP15" s="21">
        <f t="shared" si="824"/>
        <v>0</v>
      </c>
      <c r="IQ15" s="19">
        <v>0.0</v>
      </c>
      <c r="IR15" s="20">
        <f t="shared" ref="IR15:IT15" si="825">IQ15</f>
        <v>0</v>
      </c>
      <c r="IS15" s="20">
        <f t="shared" si="825"/>
        <v>0</v>
      </c>
      <c r="IT15" s="21">
        <f t="shared" si="825"/>
        <v>0</v>
      </c>
      <c r="IU15" s="19">
        <v>0.0</v>
      </c>
      <c r="IV15" s="20">
        <f t="shared" ref="IV15:IX15" si="826">IU15</f>
        <v>0</v>
      </c>
      <c r="IW15" s="20">
        <f t="shared" si="826"/>
        <v>0</v>
      </c>
      <c r="IX15" s="21">
        <f t="shared" si="826"/>
        <v>0</v>
      </c>
      <c r="IY15" s="19">
        <v>0.0</v>
      </c>
      <c r="IZ15" s="20">
        <f t="shared" ref="IZ15:JB15" si="827">IY15</f>
        <v>0</v>
      </c>
      <c r="JA15" s="20">
        <f t="shared" si="827"/>
        <v>0</v>
      </c>
      <c r="JB15" s="21">
        <f t="shared" si="827"/>
        <v>0</v>
      </c>
      <c r="JC15" s="19">
        <v>0.0</v>
      </c>
      <c r="JD15" s="20">
        <f t="shared" ref="JD15:JF15" si="828">JC15</f>
        <v>0</v>
      </c>
      <c r="JE15" s="20">
        <f t="shared" si="828"/>
        <v>0</v>
      </c>
      <c r="JF15" s="20">
        <f t="shared" si="828"/>
        <v>0</v>
      </c>
      <c r="JG15" s="19">
        <v>0.0</v>
      </c>
      <c r="JH15" s="20">
        <f t="shared" ref="JH15:JJ15" si="829">JG15</f>
        <v>0</v>
      </c>
      <c r="JI15" s="20">
        <f t="shared" si="829"/>
        <v>0</v>
      </c>
      <c r="JJ15" s="21">
        <f t="shared" si="829"/>
        <v>0</v>
      </c>
      <c r="JK15" s="19">
        <v>0.0</v>
      </c>
      <c r="JL15" s="20">
        <f t="shared" ref="JL15:JN15" si="830">JK15</f>
        <v>0</v>
      </c>
      <c r="JM15" s="20">
        <f t="shared" si="830"/>
        <v>0</v>
      </c>
      <c r="JN15" s="21">
        <f t="shared" si="830"/>
        <v>0</v>
      </c>
      <c r="JO15" s="19">
        <v>0.0</v>
      </c>
      <c r="JP15" s="20">
        <f t="shared" ref="JP15:JR15" si="831">JO15</f>
        <v>0</v>
      </c>
      <c r="JQ15" s="20">
        <f t="shared" si="831"/>
        <v>0</v>
      </c>
      <c r="JR15" s="21">
        <f t="shared" si="831"/>
        <v>0</v>
      </c>
      <c r="JS15" s="19">
        <v>0.0</v>
      </c>
      <c r="JT15" s="20">
        <f t="shared" ref="JT15:JV15" si="832">JS15</f>
        <v>0</v>
      </c>
      <c r="JU15" s="20">
        <f t="shared" si="832"/>
        <v>0</v>
      </c>
      <c r="JV15" s="21">
        <f t="shared" si="832"/>
        <v>0</v>
      </c>
      <c r="JW15" s="19">
        <v>0.0</v>
      </c>
      <c r="JX15" s="20">
        <f t="shared" ref="JX15:JZ15" si="833">JW15</f>
        <v>0</v>
      </c>
      <c r="JY15" s="20">
        <f t="shared" si="833"/>
        <v>0</v>
      </c>
      <c r="JZ15" s="21">
        <f t="shared" si="833"/>
        <v>0</v>
      </c>
    </row>
    <row r="16" ht="15.75" customHeight="1">
      <c r="A16" s="24" t="s">
        <v>94</v>
      </c>
      <c r="B16" s="37">
        <v>0.2</v>
      </c>
      <c r="C16" s="19">
        <v>0.0</v>
      </c>
      <c r="D16" s="20">
        <f t="shared" ref="D16:F16" si="834">C16</f>
        <v>0</v>
      </c>
      <c r="E16" s="20">
        <f t="shared" si="834"/>
        <v>0</v>
      </c>
      <c r="F16" s="21">
        <f t="shared" si="834"/>
        <v>0</v>
      </c>
      <c r="G16" s="19">
        <v>0.0</v>
      </c>
      <c r="H16" s="20">
        <f t="shared" ref="H16:J16" si="835">G16</f>
        <v>0</v>
      </c>
      <c r="I16" s="20">
        <f t="shared" si="835"/>
        <v>0</v>
      </c>
      <c r="J16" s="21">
        <f t="shared" si="835"/>
        <v>0</v>
      </c>
      <c r="K16" s="19">
        <v>3800000.0</v>
      </c>
      <c r="L16" s="20">
        <v>3250000.0</v>
      </c>
      <c r="M16" s="20">
        <f t="shared" ref="M16:M17" si="902">L16</f>
        <v>3250000</v>
      </c>
      <c r="N16" s="21">
        <v>3800000.0</v>
      </c>
      <c r="O16" s="19">
        <v>0.0</v>
      </c>
      <c r="P16" s="20">
        <f t="shared" ref="P16:R16" si="836">O16</f>
        <v>0</v>
      </c>
      <c r="Q16" s="20">
        <f t="shared" si="836"/>
        <v>0</v>
      </c>
      <c r="R16" s="21">
        <f t="shared" si="836"/>
        <v>0</v>
      </c>
      <c r="S16" s="19">
        <v>0.0</v>
      </c>
      <c r="T16" s="20">
        <f t="shared" ref="T16:V16" si="837">S16</f>
        <v>0</v>
      </c>
      <c r="U16" s="20">
        <f t="shared" si="837"/>
        <v>0</v>
      </c>
      <c r="V16" s="21">
        <f t="shared" si="837"/>
        <v>0</v>
      </c>
      <c r="W16" s="34">
        <v>110000.0</v>
      </c>
      <c r="X16" s="20">
        <v>113613.0</v>
      </c>
      <c r="Y16" s="20">
        <f t="shared" ref="Y16:Z16" si="838">X16</f>
        <v>113613</v>
      </c>
      <c r="Z16" s="21">
        <f t="shared" si="838"/>
        <v>113613</v>
      </c>
      <c r="AA16" s="19">
        <v>0.0</v>
      </c>
      <c r="AB16" s="20">
        <f t="shared" ref="AB16:AD16" si="839">AA16</f>
        <v>0</v>
      </c>
      <c r="AC16" s="20">
        <f t="shared" si="839"/>
        <v>0</v>
      </c>
      <c r="AD16" s="21">
        <f t="shared" si="839"/>
        <v>0</v>
      </c>
      <c r="AE16" s="19">
        <v>0.0</v>
      </c>
      <c r="AF16" s="20">
        <f t="shared" ref="AF16:AH16" si="840">AE16</f>
        <v>0</v>
      </c>
      <c r="AG16" s="20">
        <f t="shared" si="840"/>
        <v>0</v>
      </c>
      <c r="AH16" s="21">
        <f t="shared" si="840"/>
        <v>0</v>
      </c>
      <c r="AI16" s="19">
        <v>0.0</v>
      </c>
      <c r="AJ16" s="20">
        <f t="shared" ref="AJ16:AL16" si="841">AI16</f>
        <v>0</v>
      </c>
      <c r="AK16" s="20">
        <f t="shared" si="841"/>
        <v>0</v>
      </c>
      <c r="AL16" s="21">
        <f t="shared" si="841"/>
        <v>0</v>
      </c>
      <c r="AM16" s="19">
        <v>0.0</v>
      </c>
      <c r="AN16" s="20">
        <v>313370.0</v>
      </c>
      <c r="AO16" s="20">
        <f t="shared" ref="AO16:AP16" si="842">AN16</f>
        <v>313370</v>
      </c>
      <c r="AP16" s="21">
        <f t="shared" si="842"/>
        <v>313370</v>
      </c>
      <c r="AQ16" s="19">
        <v>0.0</v>
      </c>
      <c r="AR16" s="20">
        <f t="shared" ref="AR16:AT16" si="843">AQ16</f>
        <v>0</v>
      </c>
      <c r="AS16" s="20">
        <f t="shared" si="843"/>
        <v>0</v>
      </c>
      <c r="AT16" s="21">
        <f t="shared" si="843"/>
        <v>0</v>
      </c>
      <c r="AU16" s="19">
        <v>528000.0</v>
      </c>
      <c r="AV16" s="20">
        <v>565288.0</v>
      </c>
      <c r="AW16" s="20">
        <f t="shared" ref="AW16:AX16" si="844">AV16</f>
        <v>565288</v>
      </c>
      <c r="AX16" s="21">
        <f t="shared" si="844"/>
        <v>565288</v>
      </c>
      <c r="AY16" s="19">
        <v>0.0</v>
      </c>
      <c r="AZ16" s="20">
        <f t="shared" ref="AZ16:BB16" si="845">AY16</f>
        <v>0</v>
      </c>
      <c r="BA16" s="20">
        <f t="shared" si="845"/>
        <v>0</v>
      </c>
      <c r="BB16" s="21">
        <f t="shared" si="845"/>
        <v>0</v>
      </c>
      <c r="BC16" s="19">
        <v>96000.0</v>
      </c>
      <c r="BD16" s="20">
        <f>-sum(BD5+BD9)*B16</f>
        <v>210252</v>
      </c>
      <c r="BE16" s="20">
        <f t="shared" ref="BE16:BF16" si="846">BD16</f>
        <v>210252</v>
      </c>
      <c r="BF16" s="21">
        <f t="shared" si="846"/>
        <v>210252</v>
      </c>
      <c r="BG16" s="19">
        <v>0.0</v>
      </c>
      <c r="BH16" s="20">
        <f t="shared" ref="BH16:BJ16" si="847">BG16</f>
        <v>0</v>
      </c>
      <c r="BI16" s="20">
        <f t="shared" si="847"/>
        <v>0</v>
      </c>
      <c r="BJ16" s="21">
        <f t="shared" si="847"/>
        <v>0</v>
      </c>
      <c r="BK16" s="19">
        <v>220000.0</v>
      </c>
      <c r="BL16" s="20">
        <f>-Sum(BL5+BL9)*B16</f>
        <v>301392</v>
      </c>
      <c r="BM16" s="20">
        <f t="shared" ref="BM16:BN16" si="848">BL16</f>
        <v>301392</v>
      </c>
      <c r="BN16" s="21">
        <f t="shared" si="848"/>
        <v>301392</v>
      </c>
      <c r="BO16" s="19">
        <v>0.0</v>
      </c>
      <c r="BP16" s="20">
        <v>48631.0</v>
      </c>
      <c r="BQ16" s="20">
        <f t="shared" ref="BQ16:BR16" si="849">BP16</f>
        <v>48631</v>
      </c>
      <c r="BR16" s="21">
        <f t="shared" si="849"/>
        <v>48631</v>
      </c>
      <c r="BS16" s="19">
        <v>0.0</v>
      </c>
      <c r="BT16" s="20">
        <f>-BT5*$B$16</f>
        <v>15708</v>
      </c>
      <c r="BU16" s="20">
        <v>55620.0</v>
      </c>
      <c r="BV16" s="21">
        <f>BU16</f>
        <v>55620</v>
      </c>
      <c r="BW16" s="19">
        <v>0.0</v>
      </c>
      <c r="BX16" s="20">
        <v>23456.0</v>
      </c>
      <c r="BY16" s="20">
        <f t="shared" ref="BY16:BZ16" si="850">BX16</f>
        <v>23456</v>
      </c>
      <c r="BZ16" s="21">
        <f t="shared" si="850"/>
        <v>23456</v>
      </c>
      <c r="CA16" s="19">
        <v>0.0</v>
      </c>
      <c r="CB16" s="20">
        <f>-(CB$5+CB$9)*$B$16-1</f>
        <v>40811</v>
      </c>
      <c r="CC16" s="20">
        <f t="shared" ref="CC16:CD16" si="851">CB16</f>
        <v>40811</v>
      </c>
      <c r="CD16" s="21">
        <f t="shared" si="851"/>
        <v>40811</v>
      </c>
      <c r="CE16" s="19">
        <v>71000.0</v>
      </c>
      <c r="CF16" s="20">
        <v>79989.0</v>
      </c>
      <c r="CG16" s="20">
        <f t="shared" ref="CG16:CH16" si="852">CF16</f>
        <v>79989</v>
      </c>
      <c r="CH16" s="21">
        <f t="shared" si="852"/>
        <v>79989</v>
      </c>
      <c r="CI16" s="19">
        <v>0.0</v>
      </c>
      <c r="CJ16" s="20">
        <f t="shared" ref="CJ16:CL16" si="853">CI16</f>
        <v>0</v>
      </c>
      <c r="CK16" s="20">
        <f t="shared" si="853"/>
        <v>0</v>
      </c>
      <c r="CL16" s="21">
        <f t="shared" si="853"/>
        <v>0</v>
      </c>
      <c r="CM16" s="19">
        <v>0.0</v>
      </c>
      <c r="CN16" s="20">
        <f>-(CN$5+CN$9)*$B$16+2</f>
        <v>8906</v>
      </c>
      <c r="CO16" s="20">
        <f t="shared" ref="CO16:CP16" si="854">CN16</f>
        <v>8906</v>
      </c>
      <c r="CP16" s="21">
        <f t="shared" si="854"/>
        <v>8906</v>
      </c>
      <c r="CQ16" s="19">
        <v>0.0</v>
      </c>
      <c r="CR16" s="20">
        <f>-(CR$5+CR$9)*$B$16-5</f>
        <v>38737</v>
      </c>
      <c r="CS16" s="20">
        <f t="shared" ref="CS16:CT16" si="855">CR16</f>
        <v>38737</v>
      </c>
      <c r="CT16" s="21">
        <f t="shared" si="855"/>
        <v>38737</v>
      </c>
      <c r="CU16" s="19">
        <v>0.0</v>
      </c>
      <c r="CV16" s="20">
        <f>-(CV$5+CV$9)*$B$16</f>
        <v>9936</v>
      </c>
      <c r="CW16" s="20">
        <f t="shared" ref="CW16:CX16" si="856">CV16</f>
        <v>9936</v>
      </c>
      <c r="CX16" s="21">
        <f t="shared" si="856"/>
        <v>9936</v>
      </c>
      <c r="CY16" s="19">
        <v>0.0</v>
      </c>
      <c r="CZ16" s="20">
        <f>-(CZ5+CZ9)*$B$16+21</f>
        <v>110313</v>
      </c>
      <c r="DA16" s="20">
        <f t="shared" ref="DA16:DB16" si="857">CZ16</f>
        <v>110313</v>
      </c>
      <c r="DB16" s="21">
        <f t="shared" si="857"/>
        <v>110313</v>
      </c>
      <c r="DC16" s="19">
        <v>0.0</v>
      </c>
      <c r="DD16" s="20">
        <f>-sum(DD5+DD9)*B16</f>
        <v>43872</v>
      </c>
      <c r="DE16" s="20">
        <f t="shared" ref="DE16:DF16" si="858">DD16</f>
        <v>43872</v>
      </c>
      <c r="DF16" s="21">
        <f t="shared" si="858"/>
        <v>43872</v>
      </c>
      <c r="DG16" s="19">
        <v>125000.0</v>
      </c>
      <c r="DH16" s="20">
        <v>244134.0</v>
      </c>
      <c r="DI16" s="20">
        <f t="shared" ref="DI16:DI17" si="926">DH16</f>
        <v>244134</v>
      </c>
      <c r="DJ16" s="21">
        <v>126853.0</v>
      </c>
      <c r="DK16" s="19">
        <v>185000.0</v>
      </c>
      <c r="DL16" s="20">
        <v>264615.0</v>
      </c>
      <c r="DM16" s="20">
        <f t="shared" ref="DM16:DN16" si="859">DL16</f>
        <v>264615</v>
      </c>
      <c r="DN16" s="21">
        <f t="shared" si="859"/>
        <v>264615</v>
      </c>
      <c r="DO16" s="19">
        <v>0.0</v>
      </c>
      <c r="DP16" s="20">
        <f t="shared" ref="DP16:DR16" si="860">DO16</f>
        <v>0</v>
      </c>
      <c r="DQ16" s="20">
        <f t="shared" si="860"/>
        <v>0</v>
      </c>
      <c r="DR16" s="21">
        <f t="shared" si="860"/>
        <v>0</v>
      </c>
      <c r="DS16" s="19">
        <v>70000.0</v>
      </c>
      <c r="DT16" s="20">
        <v>107274.0</v>
      </c>
      <c r="DU16" s="20">
        <f t="shared" ref="DU16:DV16" si="861">DT16</f>
        <v>107274</v>
      </c>
      <c r="DV16" s="21">
        <f t="shared" si="861"/>
        <v>107274</v>
      </c>
      <c r="DW16" s="19">
        <v>0.0</v>
      </c>
      <c r="DX16" s="20">
        <f>-(DX$5+DX$9)*$B$16+2</f>
        <v>9044</v>
      </c>
      <c r="DY16" s="20">
        <f t="shared" ref="DY16:DZ16" si="862">DX16</f>
        <v>9044</v>
      </c>
      <c r="DZ16" s="21">
        <f t="shared" si="862"/>
        <v>9044</v>
      </c>
      <c r="EA16" s="19">
        <v>0.0</v>
      </c>
      <c r="EB16" s="20">
        <f>-EB5*$B$16</f>
        <v>132250</v>
      </c>
      <c r="EC16" s="20">
        <v>122361.0</v>
      </c>
      <c r="ED16" s="20">
        <f>-(ED$5+ED$9)*$B$16+26</f>
        <v>137382</v>
      </c>
      <c r="EE16" s="19">
        <v>0.0</v>
      </c>
      <c r="EF16" s="20">
        <f>-(EF$5+EF$9)*$B$16+2</f>
        <v>23246</v>
      </c>
      <c r="EG16" s="20">
        <f t="shared" ref="EG16:EH16" si="863">EF16</f>
        <v>23246</v>
      </c>
      <c r="EH16" s="21">
        <f t="shared" si="863"/>
        <v>23246</v>
      </c>
      <c r="EI16" s="19">
        <v>7488.0</v>
      </c>
      <c r="EJ16" s="21">
        <f t="shared" ref="EJ16:EK16" si="864">EI16</f>
        <v>7488</v>
      </c>
      <c r="EK16" s="21">
        <f t="shared" si="864"/>
        <v>7488</v>
      </c>
      <c r="EL16" s="21">
        <f t="shared" si="797"/>
        <v>7488</v>
      </c>
      <c r="EM16" s="19">
        <v>0.0</v>
      </c>
      <c r="EN16" s="20">
        <f>-(EN$5+EN$9)*$B$16</f>
        <v>7488</v>
      </c>
      <c r="EO16" s="20">
        <f t="shared" ref="EO16:EP16" si="865">EN16</f>
        <v>7488</v>
      </c>
      <c r="EP16" s="21">
        <f t="shared" si="865"/>
        <v>7488</v>
      </c>
      <c r="EQ16" s="19">
        <v>50000.0</v>
      </c>
      <c r="ER16" s="20">
        <v>53874.0</v>
      </c>
      <c r="ES16" s="20">
        <v>107747.0</v>
      </c>
      <c r="ET16" s="21">
        <f t="shared" ref="ET16:ET17" si="935">ES16</f>
        <v>107747</v>
      </c>
      <c r="EU16" s="19">
        <v>0.0</v>
      </c>
      <c r="EV16" s="20">
        <f t="shared" ref="EV16:EX16" si="866">EU16</f>
        <v>0</v>
      </c>
      <c r="EW16" s="20">
        <f t="shared" si="866"/>
        <v>0</v>
      </c>
      <c r="EX16" s="21">
        <f t="shared" si="866"/>
        <v>0</v>
      </c>
      <c r="EY16" s="19">
        <v>0.0</v>
      </c>
      <c r="EZ16" s="20">
        <f t="shared" ref="EZ16:FB16" si="867">EY16</f>
        <v>0</v>
      </c>
      <c r="FA16" s="20">
        <f t="shared" si="867"/>
        <v>0</v>
      </c>
      <c r="FB16" s="21">
        <f t="shared" si="867"/>
        <v>0</v>
      </c>
      <c r="FC16" s="19">
        <v>0.0</v>
      </c>
      <c r="FD16" s="20">
        <f t="shared" ref="FD16:FF16" si="868">FC16</f>
        <v>0</v>
      </c>
      <c r="FE16" s="20">
        <f t="shared" si="868"/>
        <v>0</v>
      </c>
      <c r="FF16" s="21">
        <f t="shared" si="868"/>
        <v>0</v>
      </c>
      <c r="FG16" s="19">
        <v>0.0</v>
      </c>
      <c r="FH16" s="20">
        <f t="shared" ref="FH16:FJ16" si="869">FG16</f>
        <v>0</v>
      </c>
      <c r="FI16" s="20">
        <f t="shared" si="869"/>
        <v>0</v>
      </c>
      <c r="FJ16" s="21">
        <f t="shared" si="869"/>
        <v>0</v>
      </c>
      <c r="FK16" s="19">
        <v>0.0</v>
      </c>
      <c r="FL16" s="20">
        <f t="shared" ref="FL16:FN16" si="870">FK16</f>
        <v>0</v>
      </c>
      <c r="FM16" s="20">
        <f t="shared" si="870"/>
        <v>0</v>
      </c>
      <c r="FN16" s="21">
        <f t="shared" si="870"/>
        <v>0</v>
      </c>
      <c r="FO16" s="19">
        <v>0.0</v>
      </c>
      <c r="FP16" s="20">
        <f t="shared" ref="FP16:FR16" si="871">FO16</f>
        <v>0</v>
      </c>
      <c r="FQ16" s="20">
        <f t="shared" si="871"/>
        <v>0</v>
      </c>
      <c r="FR16" s="21">
        <f t="shared" si="871"/>
        <v>0</v>
      </c>
      <c r="FS16" s="19">
        <v>0.0</v>
      </c>
      <c r="FT16" s="20">
        <f t="shared" ref="FT16:FV16" si="872">FS16</f>
        <v>0</v>
      </c>
      <c r="FU16" s="20">
        <f t="shared" si="872"/>
        <v>0</v>
      </c>
      <c r="FV16" s="21">
        <f t="shared" si="872"/>
        <v>0</v>
      </c>
      <c r="FW16" s="19">
        <v>0.0</v>
      </c>
      <c r="FX16" s="20">
        <f t="shared" ref="FX16:FZ16" si="873">FW16</f>
        <v>0</v>
      </c>
      <c r="FY16" s="20">
        <f t="shared" si="873"/>
        <v>0</v>
      </c>
      <c r="FZ16" s="21">
        <f t="shared" si="873"/>
        <v>0</v>
      </c>
      <c r="GA16" s="19">
        <v>0.0</v>
      </c>
      <c r="GB16" s="20">
        <f>-(GB5+GB9)*$B$16-1</f>
        <v>9935</v>
      </c>
      <c r="GC16" s="20">
        <f t="shared" ref="GC16:GD16" si="874">GB16</f>
        <v>9935</v>
      </c>
      <c r="GD16" s="21">
        <f t="shared" si="874"/>
        <v>9935</v>
      </c>
      <c r="GE16" s="19">
        <v>0.0</v>
      </c>
      <c r="GF16" s="20">
        <f t="shared" ref="GF16:GH16" si="875">GE16</f>
        <v>0</v>
      </c>
      <c r="GG16" s="20">
        <f t="shared" si="875"/>
        <v>0</v>
      </c>
      <c r="GH16" s="21">
        <f t="shared" si="875"/>
        <v>0</v>
      </c>
      <c r="GI16" s="19">
        <v>0.0</v>
      </c>
      <c r="GJ16" s="20">
        <f t="shared" ref="GJ16:GL16" si="876">GI16</f>
        <v>0</v>
      </c>
      <c r="GK16" s="20">
        <f t="shared" si="876"/>
        <v>0</v>
      </c>
      <c r="GL16" s="20">
        <f t="shared" si="876"/>
        <v>0</v>
      </c>
      <c r="GM16" s="22">
        <v>0.0</v>
      </c>
      <c r="GN16" s="20">
        <f t="shared" ref="GN16:GP16" si="877">GM16</f>
        <v>0</v>
      </c>
      <c r="GO16" s="20">
        <f t="shared" si="877"/>
        <v>0</v>
      </c>
      <c r="GP16" s="21">
        <f t="shared" si="877"/>
        <v>0</v>
      </c>
      <c r="GQ16" s="19">
        <v>0.0</v>
      </c>
      <c r="GR16" s="20">
        <f t="shared" ref="GR16:GT16" si="878">GQ16</f>
        <v>0</v>
      </c>
      <c r="GS16" s="20">
        <f t="shared" si="878"/>
        <v>0</v>
      </c>
      <c r="GT16" s="21">
        <f t="shared" si="878"/>
        <v>0</v>
      </c>
      <c r="GU16" s="19">
        <v>0.0</v>
      </c>
      <c r="GV16" s="20">
        <f t="shared" ref="GV16:GX16" si="879">GU16</f>
        <v>0</v>
      </c>
      <c r="GW16" s="20">
        <f t="shared" si="879"/>
        <v>0</v>
      </c>
      <c r="GX16" s="21">
        <f t="shared" si="879"/>
        <v>0</v>
      </c>
      <c r="GY16" s="19">
        <v>0.0</v>
      </c>
      <c r="GZ16" s="20">
        <f>-(GZ5+GZ9)*$B$16</f>
        <v>9936</v>
      </c>
      <c r="HA16" s="20">
        <f t="shared" ref="HA16:HB16" si="880">GZ16</f>
        <v>9936</v>
      </c>
      <c r="HB16" s="21">
        <f t="shared" si="880"/>
        <v>9936</v>
      </c>
      <c r="HC16" s="19">
        <v>0.0</v>
      </c>
      <c r="HD16" s="20">
        <f t="shared" ref="HD16:HF16" si="881">HC16</f>
        <v>0</v>
      </c>
      <c r="HE16" s="20">
        <f t="shared" si="881"/>
        <v>0</v>
      </c>
      <c r="HF16" s="21">
        <f t="shared" si="881"/>
        <v>0</v>
      </c>
      <c r="HG16" s="19">
        <v>0.0</v>
      </c>
      <c r="HH16" s="20">
        <f t="shared" ref="HH16:HJ16" si="882">HG16</f>
        <v>0</v>
      </c>
      <c r="HI16" s="20">
        <f t="shared" si="882"/>
        <v>0</v>
      </c>
      <c r="HJ16" s="21">
        <f t="shared" si="882"/>
        <v>0</v>
      </c>
      <c r="HK16" s="19">
        <v>0.0</v>
      </c>
      <c r="HL16" s="20">
        <f t="shared" ref="HL16:HN16" si="883">HK16</f>
        <v>0</v>
      </c>
      <c r="HM16" s="20">
        <f t="shared" si="883"/>
        <v>0</v>
      </c>
      <c r="HN16" s="21">
        <f t="shared" si="883"/>
        <v>0</v>
      </c>
      <c r="HO16" s="19">
        <v>0.0</v>
      </c>
      <c r="HP16" s="20">
        <f t="shared" ref="HP16:HR16" si="884">HO16</f>
        <v>0</v>
      </c>
      <c r="HQ16" s="20">
        <f t="shared" si="884"/>
        <v>0</v>
      </c>
      <c r="HR16" s="21">
        <f t="shared" si="884"/>
        <v>0</v>
      </c>
      <c r="HS16" s="19">
        <v>0.0</v>
      </c>
      <c r="HT16" s="20">
        <f t="shared" ref="HT16:HV16" si="885">HS16</f>
        <v>0</v>
      </c>
      <c r="HU16" s="20">
        <f t="shared" si="885"/>
        <v>0</v>
      </c>
      <c r="HV16" s="21">
        <f t="shared" si="885"/>
        <v>0</v>
      </c>
      <c r="HW16" s="19">
        <v>0.0</v>
      </c>
      <c r="HX16" s="20">
        <f t="shared" ref="HX16:HZ16" si="886">HW16</f>
        <v>0</v>
      </c>
      <c r="HY16" s="20">
        <f t="shared" si="886"/>
        <v>0</v>
      </c>
      <c r="HZ16" s="21">
        <f t="shared" si="886"/>
        <v>0</v>
      </c>
      <c r="IA16" s="19">
        <v>0.0</v>
      </c>
      <c r="IB16" s="20">
        <f t="shared" ref="IB16:ID16" si="887">IA16</f>
        <v>0</v>
      </c>
      <c r="IC16" s="20">
        <f t="shared" si="887"/>
        <v>0</v>
      </c>
      <c r="ID16" s="21">
        <f t="shared" si="887"/>
        <v>0</v>
      </c>
      <c r="IE16" s="19">
        <v>0.0</v>
      </c>
      <c r="IF16" s="20">
        <f t="shared" ref="IF16:IH16" si="888">IE16</f>
        <v>0</v>
      </c>
      <c r="IG16" s="20">
        <f t="shared" si="888"/>
        <v>0</v>
      </c>
      <c r="IH16" s="21">
        <f t="shared" si="888"/>
        <v>0</v>
      </c>
      <c r="II16" s="19">
        <v>0.0</v>
      </c>
      <c r="IJ16" s="20">
        <f t="shared" ref="IJ16:IL16" si="889">II16</f>
        <v>0</v>
      </c>
      <c r="IK16" s="20">
        <f t="shared" si="889"/>
        <v>0</v>
      </c>
      <c r="IL16" s="20">
        <f t="shared" si="889"/>
        <v>0</v>
      </c>
      <c r="IM16" s="35">
        <v>0.0</v>
      </c>
      <c r="IN16" s="20">
        <f t="shared" ref="IN16:IP16" si="890">IM16</f>
        <v>0</v>
      </c>
      <c r="IO16" s="20">
        <f t="shared" si="890"/>
        <v>0</v>
      </c>
      <c r="IP16" s="21">
        <f t="shared" si="890"/>
        <v>0</v>
      </c>
      <c r="IQ16" s="19">
        <v>0.0</v>
      </c>
      <c r="IR16" s="20">
        <f t="shared" ref="IR16:IT16" si="891">IQ16</f>
        <v>0</v>
      </c>
      <c r="IS16" s="20">
        <f t="shared" si="891"/>
        <v>0</v>
      </c>
      <c r="IT16" s="21">
        <f t="shared" si="891"/>
        <v>0</v>
      </c>
      <c r="IU16" s="19">
        <v>0.0</v>
      </c>
      <c r="IV16" s="20">
        <f t="shared" ref="IV16:IX16" si="892">IU16</f>
        <v>0</v>
      </c>
      <c r="IW16" s="20">
        <f t="shared" si="892"/>
        <v>0</v>
      </c>
      <c r="IX16" s="21">
        <f t="shared" si="892"/>
        <v>0</v>
      </c>
      <c r="IY16" s="19">
        <v>0.0</v>
      </c>
      <c r="IZ16" s="20">
        <f t="shared" ref="IZ16:JB16" si="893">IY16</f>
        <v>0</v>
      </c>
      <c r="JA16" s="20">
        <f t="shared" si="893"/>
        <v>0</v>
      </c>
      <c r="JB16" s="21">
        <f t="shared" si="893"/>
        <v>0</v>
      </c>
      <c r="JC16" s="19">
        <v>0.0</v>
      </c>
      <c r="JD16" s="20">
        <f t="shared" ref="JD16:JF16" si="894">JC16</f>
        <v>0</v>
      </c>
      <c r="JE16" s="20">
        <f t="shared" si="894"/>
        <v>0</v>
      </c>
      <c r="JF16" s="20">
        <f t="shared" si="894"/>
        <v>0</v>
      </c>
      <c r="JG16" s="19">
        <v>0.0</v>
      </c>
      <c r="JH16" s="20">
        <f t="shared" ref="JH16:JJ16" si="895">JG16</f>
        <v>0</v>
      </c>
      <c r="JI16" s="20">
        <f t="shared" si="895"/>
        <v>0</v>
      </c>
      <c r="JJ16" s="21">
        <f t="shared" si="895"/>
        <v>0</v>
      </c>
      <c r="JK16" s="19">
        <v>0.0</v>
      </c>
      <c r="JL16" s="20">
        <f t="shared" ref="JL16:JN16" si="896">JK16</f>
        <v>0</v>
      </c>
      <c r="JM16" s="20">
        <f t="shared" si="896"/>
        <v>0</v>
      </c>
      <c r="JN16" s="21">
        <f t="shared" si="896"/>
        <v>0</v>
      </c>
      <c r="JO16" s="19">
        <v>0.0</v>
      </c>
      <c r="JP16" s="20">
        <f t="shared" ref="JP16:JR16" si="897">JO16</f>
        <v>0</v>
      </c>
      <c r="JQ16" s="20">
        <f t="shared" si="897"/>
        <v>0</v>
      </c>
      <c r="JR16" s="21">
        <f t="shared" si="897"/>
        <v>0</v>
      </c>
      <c r="JS16" s="19">
        <v>0.0</v>
      </c>
      <c r="JT16" s="20">
        <f t="shared" ref="JT16:JV16" si="898">JS16</f>
        <v>0</v>
      </c>
      <c r="JU16" s="20">
        <f t="shared" si="898"/>
        <v>0</v>
      </c>
      <c r="JV16" s="21">
        <f t="shared" si="898"/>
        <v>0</v>
      </c>
      <c r="JW16" s="19">
        <v>0.0</v>
      </c>
      <c r="JX16" s="20">
        <f t="shared" ref="JX16:JZ16" si="899">JW16</f>
        <v>0</v>
      </c>
      <c r="JY16" s="20">
        <f t="shared" si="899"/>
        <v>0</v>
      </c>
      <c r="JZ16" s="21">
        <f t="shared" si="899"/>
        <v>0</v>
      </c>
    </row>
    <row r="17" ht="15.75" customHeight="1">
      <c r="A17" s="24" t="s">
        <v>95</v>
      </c>
      <c r="B17" s="37">
        <v>0.1</v>
      </c>
      <c r="C17" s="19">
        <v>0.0</v>
      </c>
      <c r="D17" s="20">
        <v>0.0</v>
      </c>
      <c r="E17" s="20">
        <f t="shared" ref="E17:F17" si="900">D17</f>
        <v>0</v>
      </c>
      <c r="F17" s="21">
        <f t="shared" si="900"/>
        <v>0</v>
      </c>
      <c r="G17" s="19">
        <v>0.0</v>
      </c>
      <c r="H17" s="20">
        <v>0.0</v>
      </c>
      <c r="I17" s="20">
        <f t="shared" ref="I17:J17" si="901">H17</f>
        <v>0</v>
      </c>
      <c r="J17" s="21">
        <f t="shared" si="901"/>
        <v>0</v>
      </c>
      <c r="K17" s="19">
        <v>0.0</v>
      </c>
      <c r="L17" s="20">
        <v>0.0</v>
      </c>
      <c r="M17" s="20">
        <f t="shared" si="902"/>
        <v>0</v>
      </c>
      <c r="N17" s="21">
        <f>M17</f>
        <v>0</v>
      </c>
      <c r="O17" s="19">
        <v>0.0</v>
      </c>
      <c r="P17" s="20">
        <v>0.0</v>
      </c>
      <c r="Q17" s="20">
        <f t="shared" ref="Q17:R17" si="903">P17</f>
        <v>0</v>
      </c>
      <c r="R17" s="21">
        <f t="shared" si="903"/>
        <v>0</v>
      </c>
      <c r="S17" s="19">
        <v>0.0</v>
      </c>
      <c r="T17" s="20">
        <v>0.0</v>
      </c>
      <c r="U17" s="20">
        <f t="shared" ref="U17:V17" si="904">T17</f>
        <v>0</v>
      </c>
      <c r="V17" s="21">
        <f t="shared" si="904"/>
        <v>0</v>
      </c>
      <c r="W17" s="34">
        <v>0.0</v>
      </c>
      <c r="X17" s="20">
        <v>0.0</v>
      </c>
      <c r="Y17" s="20">
        <f t="shared" ref="Y17:Z17" si="905">X17</f>
        <v>0</v>
      </c>
      <c r="Z17" s="21">
        <f t="shared" si="905"/>
        <v>0</v>
      </c>
      <c r="AA17" s="19">
        <v>0.0</v>
      </c>
      <c r="AB17" s="20">
        <v>0.0</v>
      </c>
      <c r="AC17" s="20">
        <f t="shared" ref="AC17:AD17" si="906">AB17</f>
        <v>0</v>
      </c>
      <c r="AD17" s="21">
        <f t="shared" si="906"/>
        <v>0</v>
      </c>
      <c r="AE17" s="19">
        <v>0.0</v>
      </c>
      <c r="AF17" s="20">
        <v>0.0</v>
      </c>
      <c r="AG17" s="20">
        <f t="shared" ref="AG17:AH17" si="907">AF17</f>
        <v>0</v>
      </c>
      <c r="AH17" s="21">
        <f t="shared" si="907"/>
        <v>0</v>
      </c>
      <c r="AI17" s="19">
        <v>0.0</v>
      </c>
      <c r="AJ17" s="20">
        <f t="shared" ref="AJ17:AK17" si="908">-AJ5*$B$17</f>
        <v>0</v>
      </c>
      <c r="AK17" s="20">
        <f t="shared" si="908"/>
        <v>1768.9</v>
      </c>
      <c r="AL17" s="21">
        <f>-AL5*B17</f>
        <v>1053.9</v>
      </c>
      <c r="AM17" s="19">
        <v>0.0</v>
      </c>
      <c r="AN17" s="20">
        <v>0.0</v>
      </c>
      <c r="AO17" s="20">
        <f t="shared" ref="AO17:AP17" si="909">AN17</f>
        <v>0</v>
      </c>
      <c r="AP17" s="21">
        <f t="shared" si="909"/>
        <v>0</v>
      </c>
      <c r="AQ17" s="19">
        <v>0.0</v>
      </c>
      <c r="AR17" s="20">
        <f>-AR5*$B$17</f>
        <v>5500</v>
      </c>
      <c r="AS17" s="20">
        <f t="shared" ref="AS17:AT17" si="910">AR17</f>
        <v>5500</v>
      </c>
      <c r="AT17" s="21">
        <f t="shared" si="910"/>
        <v>5500</v>
      </c>
      <c r="AU17" s="19">
        <v>0.0</v>
      </c>
      <c r="AV17" s="20">
        <v>0.0</v>
      </c>
      <c r="AW17" s="20">
        <f t="shared" ref="AW17:AX17" si="911">AV17</f>
        <v>0</v>
      </c>
      <c r="AX17" s="21">
        <f t="shared" si="911"/>
        <v>0</v>
      </c>
      <c r="AY17" s="19">
        <v>0.0</v>
      </c>
      <c r="AZ17" s="20">
        <f>-AZ5*$B$17</f>
        <v>5355</v>
      </c>
      <c r="BA17" s="20">
        <f t="shared" ref="BA17:BB17" si="912">AZ17</f>
        <v>5355</v>
      </c>
      <c r="BB17" s="21">
        <f t="shared" si="912"/>
        <v>5355</v>
      </c>
      <c r="BC17" s="19">
        <v>0.0</v>
      </c>
      <c r="BD17" s="20">
        <v>0.0</v>
      </c>
      <c r="BE17" s="20">
        <f t="shared" ref="BE17:BF17" si="913">BD17</f>
        <v>0</v>
      </c>
      <c r="BF17" s="21">
        <f t="shared" si="913"/>
        <v>0</v>
      </c>
      <c r="BG17" s="19">
        <v>0.0</v>
      </c>
      <c r="BH17" s="20">
        <f>-BH5*$B$17</f>
        <v>0</v>
      </c>
      <c r="BI17" s="20">
        <f t="shared" ref="BI17:BI19" si="979">BH17</f>
        <v>0</v>
      </c>
      <c r="BJ17" s="21">
        <v>2000.0</v>
      </c>
      <c r="BK17" s="19">
        <v>0.0</v>
      </c>
      <c r="BL17" s="20">
        <v>0.0</v>
      </c>
      <c r="BM17" s="20">
        <f t="shared" ref="BM17:BN17" si="914">BL17</f>
        <v>0</v>
      </c>
      <c r="BN17" s="21">
        <f t="shared" si="914"/>
        <v>0</v>
      </c>
      <c r="BO17" s="19">
        <v>0.0</v>
      </c>
      <c r="BP17" s="20">
        <v>0.0</v>
      </c>
      <c r="BQ17" s="20">
        <f t="shared" ref="BQ17:BR17" si="915">BP17</f>
        <v>0</v>
      </c>
      <c r="BR17" s="21">
        <f t="shared" si="915"/>
        <v>0</v>
      </c>
      <c r="BS17" s="19">
        <v>0.0</v>
      </c>
      <c r="BT17" s="20">
        <v>0.0</v>
      </c>
      <c r="BU17" s="20">
        <f t="shared" ref="BU17:BV17" si="916">BT17</f>
        <v>0</v>
      </c>
      <c r="BV17" s="21">
        <f t="shared" si="916"/>
        <v>0</v>
      </c>
      <c r="BW17" s="19">
        <v>0.0</v>
      </c>
      <c r="BX17" s="20">
        <v>0.0</v>
      </c>
      <c r="BY17" s="20">
        <f t="shared" ref="BY17:BZ17" si="917">BX17</f>
        <v>0</v>
      </c>
      <c r="BZ17" s="21">
        <f t="shared" si="917"/>
        <v>0</v>
      </c>
      <c r="CA17" s="19">
        <v>0.0</v>
      </c>
      <c r="CB17" s="20">
        <v>0.0</v>
      </c>
      <c r="CC17" s="20">
        <f t="shared" ref="CC17:CD17" si="918">CB17</f>
        <v>0</v>
      </c>
      <c r="CD17" s="21">
        <f t="shared" si="918"/>
        <v>0</v>
      </c>
      <c r="CE17" s="19">
        <v>0.0</v>
      </c>
      <c r="CF17" s="20">
        <v>0.0</v>
      </c>
      <c r="CG17" s="20">
        <f t="shared" ref="CG17:CH17" si="919">CF17</f>
        <v>0</v>
      </c>
      <c r="CH17" s="21">
        <f t="shared" si="919"/>
        <v>0</v>
      </c>
      <c r="CI17" s="19">
        <v>0.0</v>
      </c>
      <c r="CJ17" s="20">
        <v>0.0</v>
      </c>
      <c r="CK17" s="20">
        <f t="shared" ref="CK17:CL17" si="920">CJ17</f>
        <v>0</v>
      </c>
      <c r="CL17" s="21">
        <f t="shared" si="920"/>
        <v>0</v>
      </c>
      <c r="CM17" s="19">
        <v>0.0</v>
      </c>
      <c r="CN17" s="20">
        <v>0.0</v>
      </c>
      <c r="CO17" s="20">
        <f t="shared" ref="CO17:CP17" si="921">CN17</f>
        <v>0</v>
      </c>
      <c r="CP17" s="21">
        <f t="shared" si="921"/>
        <v>0</v>
      </c>
      <c r="CQ17" s="19">
        <v>0.0</v>
      </c>
      <c r="CR17" s="20">
        <v>0.0</v>
      </c>
      <c r="CS17" s="20">
        <f t="shared" ref="CS17:CT17" si="922">CR17</f>
        <v>0</v>
      </c>
      <c r="CT17" s="21">
        <f t="shared" si="922"/>
        <v>0</v>
      </c>
      <c r="CU17" s="19">
        <v>0.0</v>
      </c>
      <c r="CV17" s="20">
        <v>0.0</v>
      </c>
      <c r="CW17" s="20">
        <f t="shared" ref="CW17:CX17" si="923">CV17</f>
        <v>0</v>
      </c>
      <c r="CX17" s="21">
        <f t="shared" si="923"/>
        <v>0</v>
      </c>
      <c r="CY17" s="19">
        <v>0.0</v>
      </c>
      <c r="CZ17" s="20">
        <f>-CZ7*B17</f>
        <v>17500</v>
      </c>
      <c r="DA17" s="20">
        <f t="shared" ref="DA17:DB17" si="924">CZ17</f>
        <v>17500</v>
      </c>
      <c r="DB17" s="21">
        <f t="shared" si="924"/>
        <v>17500</v>
      </c>
      <c r="DC17" s="19">
        <v>0.0</v>
      </c>
      <c r="DD17" s="20">
        <v>0.0</v>
      </c>
      <c r="DE17" s="20">
        <f t="shared" ref="DE17:DF17" si="925">DD17</f>
        <v>0</v>
      </c>
      <c r="DF17" s="21">
        <f t="shared" si="925"/>
        <v>0</v>
      </c>
      <c r="DG17" s="19">
        <v>0.0</v>
      </c>
      <c r="DH17" s="20">
        <v>0.0</v>
      </c>
      <c r="DI17" s="20">
        <f t="shared" si="926"/>
        <v>0</v>
      </c>
      <c r="DJ17" s="21">
        <f>DI17</f>
        <v>0</v>
      </c>
      <c r="DK17" s="19">
        <v>0.0</v>
      </c>
      <c r="DL17" s="20">
        <v>0.0</v>
      </c>
      <c r="DM17" s="20">
        <f t="shared" ref="DM17:DN17" si="927">DL17</f>
        <v>0</v>
      </c>
      <c r="DN17" s="21">
        <f t="shared" si="927"/>
        <v>0</v>
      </c>
      <c r="DO17" s="19">
        <v>0.0</v>
      </c>
      <c r="DP17" s="20">
        <v>0.0</v>
      </c>
      <c r="DQ17" s="20">
        <f t="shared" ref="DQ17:DR17" si="928">DP17</f>
        <v>0</v>
      </c>
      <c r="DR17" s="21">
        <f t="shared" si="928"/>
        <v>0</v>
      </c>
      <c r="DS17" s="19">
        <v>0.0</v>
      </c>
      <c r="DT17" s="20">
        <v>0.0</v>
      </c>
      <c r="DU17" s="20">
        <f t="shared" ref="DU17:DV17" si="929">DT17</f>
        <v>0</v>
      </c>
      <c r="DV17" s="21">
        <f t="shared" si="929"/>
        <v>0</v>
      </c>
      <c r="DW17" s="19">
        <v>0.0</v>
      </c>
      <c r="DX17" s="20">
        <v>0.0</v>
      </c>
      <c r="DY17" s="20">
        <f t="shared" ref="DY17:DZ17" si="930">DX17</f>
        <v>0</v>
      </c>
      <c r="DZ17" s="21">
        <f t="shared" si="930"/>
        <v>0</v>
      </c>
      <c r="EA17" s="19">
        <v>0.0</v>
      </c>
      <c r="EB17" s="20">
        <v>0.0</v>
      </c>
      <c r="EC17" s="20">
        <f t="shared" ref="EC17:ED17" si="931">EB17</f>
        <v>0</v>
      </c>
      <c r="ED17" s="21">
        <f t="shared" si="931"/>
        <v>0</v>
      </c>
      <c r="EE17" s="19">
        <v>0.0</v>
      </c>
      <c r="EF17" s="20">
        <v>0.0</v>
      </c>
      <c r="EG17" s="20">
        <f t="shared" ref="EG17:EH17" si="932">EF17</f>
        <v>0</v>
      </c>
      <c r="EH17" s="21">
        <f t="shared" si="932"/>
        <v>0</v>
      </c>
      <c r="EI17" s="38">
        <v>0.0</v>
      </c>
      <c r="EJ17" s="21">
        <f t="shared" ref="EJ17:EK17" si="933">EI17</f>
        <v>0</v>
      </c>
      <c r="EK17" s="21">
        <f t="shared" si="933"/>
        <v>0</v>
      </c>
      <c r="EL17" s="21">
        <f t="shared" si="797"/>
        <v>0</v>
      </c>
      <c r="EM17" s="19">
        <v>0.0</v>
      </c>
      <c r="EN17" s="20">
        <v>0.0</v>
      </c>
      <c r="EO17" s="20">
        <f t="shared" ref="EO17:EP17" si="934">EN17</f>
        <v>0</v>
      </c>
      <c r="EP17" s="21">
        <f t="shared" si="934"/>
        <v>0</v>
      </c>
      <c r="EQ17" s="19">
        <v>0.0</v>
      </c>
      <c r="ER17" s="20">
        <v>0.0</v>
      </c>
      <c r="ES17" s="20">
        <v>0.0</v>
      </c>
      <c r="ET17" s="21">
        <f t="shared" si="935"/>
        <v>0</v>
      </c>
      <c r="EU17" s="19">
        <v>0.0</v>
      </c>
      <c r="EV17" s="20">
        <f t="shared" ref="EV17:EW17" si="936">-EV5*$B$17</f>
        <v>0</v>
      </c>
      <c r="EW17" s="20">
        <f t="shared" si="936"/>
        <v>4840</v>
      </c>
      <c r="EX17" s="21">
        <f>EW17</f>
        <v>4840</v>
      </c>
      <c r="EY17" s="19">
        <v>0.0</v>
      </c>
      <c r="EZ17" s="20">
        <f t="shared" ref="EZ17:FA17" si="937">-EZ5*$B$17</f>
        <v>2110</v>
      </c>
      <c r="FA17" s="20">
        <f t="shared" si="937"/>
        <v>2410</v>
      </c>
      <c r="FB17" s="21">
        <f>FA17</f>
        <v>2410</v>
      </c>
      <c r="FC17" s="19">
        <v>0.0</v>
      </c>
      <c r="FD17" s="20">
        <f>-FD5*$B$17</f>
        <v>7000</v>
      </c>
      <c r="FE17" s="20">
        <f t="shared" ref="FE17:FF17" si="938">FD17</f>
        <v>7000</v>
      </c>
      <c r="FF17" s="21">
        <f t="shared" si="938"/>
        <v>7000</v>
      </c>
      <c r="FG17" s="19">
        <v>0.0</v>
      </c>
      <c r="FH17" s="20">
        <f>-FH5*$B$17</f>
        <v>4330</v>
      </c>
      <c r="FI17" s="20">
        <f t="shared" ref="FI17:FJ17" si="939">FH17</f>
        <v>4330</v>
      </c>
      <c r="FJ17" s="21">
        <f t="shared" si="939"/>
        <v>4330</v>
      </c>
      <c r="FK17" s="19">
        <v>0.0</v>
      </c>
      <c r="FL17" s="20">
        <f>-FL5*$B$17</f>
        <v>1360</v>
      </c>
      <c r="FM17" s="20">
        <f t="shared" ref="FM17:FN17" si="940">FL17</f>
        <v>1360</v>
      </c>
      <c r="FN17" s="21">
        <f t="shared" si="940"/>
        <v>1360</v>
      </c>
      <c r="FO17" s="19">
        <v>0.0</v>
      </c>
      <c r="FP17" s="20">
        <f t="shared" ref="FP17:FQ17" si="941">-FP5*$B$17</f>
        <v>1080</v>
      </c>
      <c r="FQ17" s="20">
        <f t="shared" si="941"/>
        <v>1125</v>
      </c>
      <c r="FR17" s="21">
        <f>FQ17</f>
        <v>1125</v>
      </c>
      <c r="FS17" s="19">
        <v>0.0</v>
      </c>
      <c r="FT17" s="20">
        <f t="shared" ref="FT17:FU17" si="942">-FT5*$B$17</f>
        <v>3000</v>
      </c>
      <c r="FU17" s="20">
        <f t="shared" si="942"/>
        <v>9000</v>
      </c>
      <c r="FV17" s="21">
        <f>-FV5*B17</f>
        <v>11480</v>
      </c>
      <c r="FW17" s="19">
        <v>0.0</v>
      </c>
      <c r="FX17" s="20">
        <f t="shared" ref="FX17:FY17" si="943">-FX5*$B$17</f>
        <v>2500</v>
      </c>
      <c r="FY17" s="20">
        <f t="shared" si="943"/>
        <v>2981</v>
      </c>
      <c r="FZ17" s="21">
        <f>FY17</f>
        <v>2981</v>
      </c>
      <c r="GA17" s="19">
        <v>0.0</v>
      </c>
      <c r="GB17" s="20">
        <v>0.0</v>
      </c>
      <c r="GC17" s="20">
        <f t="shared" ref="GC17:GD17" si="944">GB17</f>
        <v>0</v>
      </c>
      <c r="GD17" s="21">
        <f t="shared" si="944"/>
        <v>0</v>
      </c>
      <c r="GE17" s="19">
        <v>0.0</v>
      </c>
      <c r="GF17" s="20">
        <f t="shared" ref="GF17:GG17" si="945">-GF5*$B$17</f>
        <v>1175</v>
      </c>
      <c r="GG17" s="20">
        <f t="shared" si="945"/>
        <v>1600</v>
      </c>
      <c r="GH17" s="21">
        <f>GG17</f>
        <v>1600</v>
      </c>
      <c r="GI17" s="19">
        <v>0.0</v>
      </c>
      <c r="GJ17" s="20">
        <f>-GJ5*$B$17</f>
        <v>8335</v>
      </c>
      <c r="GK17" s="20">
        <f t="shared" ref="GK17:GL17" si="946">GJ17</f>
        <v>8335</v>
      </c>
      <c r="GL17" s="20">
        <f t="shared" si="946"/>
        <v>8335</v>
      </c>
      <c r="GM17" s="22">
        <v>0.0</v>
      </c>
      <c r="GN17" s="20">
        <v>0.0</v>
      </c>
      <c r="GO17" s="20">
        <v>0.0</v>
      </c>
      <c r="GP17" s="21">
        <f>GO17</f>
        <v>0</v>
      </c>
      <c r="GQ17" s="19">
        <v>0.0</v>
      </c>
      <c r="GR17" s="20">
        <f>-GR5*$B$17</f>
        <v>2000</v>
      </c>
      <c r="GS17" s="20">
        <f>GR17</f>
        <v>2000</v>
      </c>
      <c r="GT17" s="21">
        <v>2500.0</v>
      </c>
      <c r="GU17" s="19">
        <v>0.0</v>
      </c>
      <c r="GV17" s="20">
        <f t="shared" ref="GV17:GW17" si="947">-GV5*$B$17</f>
        <v>0</v>
      </c>
      <c r="GW17" s="20">
        <f t="shared" si="947"/>
        <v>1843</v>
      </c>
      <c r="GX17" s="21">
        <v>0.0</v>
      </c>
      <c r="GY17" s="19">
        <v>0.0</v>
      </c>
      <c r="GZ17" s="20">
        <v>0.0</v>
      </c>
      <c r="HA17" s="20">
        <f t="shared" ref="HA17:HB17" si="948">GZ17</f>
        <v>0</v>
      </c>
      <c r="HB17" s="21">
        <f t="shared" si="948"/>
        <v>0</v>
      </c>
      <c r="HC17" s="19">
        <v>0.0</v>
      </c>
      <c r="HD17" s="20">
        <f t="shared" ref="HD17:HE17" si="949">-HD5*$B$17</f>
        <v>5500</v>
      </c>
      <c r="HE17" s="20">
        <f t="shared" si="949"/>
        <v>5500</v>
      </c>
      <c r="HF17" s="21">
        <f>HE17</f>
        <v>5500</v>
      </c>
      <c r="HG17" s="19">
        <v>0.0</v>
      </c>
      <c r="HH17" s="20">
        <f>-HH5*$B$17</f>
        <v>1115.94</v>
      </c>
      <c r="HI17" s="20">
        <f t="shared" ref="HI17:HJ17" si="950">HH17</f>
        <v>1115.94</v>
      </c>
      <c r="HJ17" s="21">
        <f t="shared" si="950"/>
        <v>1115.94</v>
      </c>
      <c r="HK17" s="19">
        <v>0.0</v>
      </c>
      <c r="HL17" s="20">
        <f>-HL5*$B$17</f>
        <v>940</v>
      </c>
      <c r="HM17" s="20">
        <f t="shared" ref="HM17:HN17" si="951">HL17</f>
        <v>940</v>
      </c>
      <c r="HN17" s="21">
        <f t="shared" si="951"/>
        <v>940</v>
      </c>
      <c r="HO17" s="19">
        <v>0.0</v>
      </c>
      <c r="HP17" s="20">
        <f t="shared" ref="HP17:HQ17" si="952">-HP5*$B$17</f>
        <v>3000</v>
      </c>
      <c r="HQ17" s="20">
        <f t="shared" si="952"/>
        <v>5662</v>
      </c>
      <c r="HR17" s="21">
        <f>HQ17</f>
        <v>5662</v>
      </c>
      <c r="HS17" s="19">
        <v>0.0</v>
      </c>
      <c r="HT17" s="20">
        <f>-(HT5+HS7)*$B$17</f>
        <v>21205</v>
      </c>
      <c r="HU17" s="20">
        <f t="shared" ref="HU17:HV17" si="953">HT17</f>
        <v>21205</v>
      </c>
      <c r="HV17" s="21">
        <f t="shared" si="953"/>
        <v>21205</v>
      </c>
      <c r="HW17" s="19">
        <v>0.0</v>
      </c>
      <c r="HX17" s="20">
        <f t="shared" ref="HX17:HY17" si="954">-HX5*$B$17</f>
        <v>1320</v>
      </c>
      <c r="HY17" s="20">
        <f t="shared" si="954"/>
        <v>660</v>
      </c>
      <c r="HZ17" s="21">
        <f>-HZ5*B17</f>
        <v>1320</v>
      </c>
      <c r="IA17" s="19">
        <v>0.0</v>
      </c>
      <c r="IB17" s="20">
        <f t="shared" ref="IB17:IC17" si="955">-IB5*$B$17</f>
        <v>730</v>
      </c>
      <c r="IC17" s="20">
        <f t="shared" si="955"/>
        <v>590</v>
      </c>
      <c r="ID17" s="21">
        <f>-ID5*B17</f>
        <v>1290</v>
      </c>
      <c r="IE17" s="19">
        <v>0.0</v>
      </c>
      <c r="IF17" s="20">
        <f>-IF5*$B$17</f>
        <v>540</v>
      </c>
      <c r="IG17" s="20">
        <f>IF17</f>
        <v>540</v>
      </c>
      <c r="IH17" s="21">
        <f>-IH5*B17</f>
        <v>1050</v>
      </c>
      <c r="II17" s="19">
        <v>0.0</v>
      </c>
      <c r="IJ17" s="20">
        <f>-IJ5*$B$17</f>
        <v>2750</v>
      </c>
      <c r="IK17" s="20">
        <f t="shared" ref="IK17:IL17" si="956">IJ17</f>
        <v>2750</v>
      </c>
      <c r="IL17" s="20">
        <f t="shared" si="956"/>
        <v>2750</v>
      </c>
      <c r="IM17" s="35">
        <v>0.0</v>
      </c>
      <c r="IN17" s="20">
        <f>-IN5*$B$17</f>
        <v>3660</v>
      </c>
      <c r="IO17" s="20">
        <f t="shared" ref="IO17:IP17" si="957">IN17</f>
        <v>3660</v>
      </c>
      <c r="IP17" s="21">
        <f t="shared" si="957"/>
        <v>3660</v>
      </c>
      <c r="IQ17" s="19">
        <v>0.0</v>
      </c>
      <c r="IR17" s="20">
        <f>-IR5*$B$17</f>
        <v>5400</v>
      </c>
      <c r="IS17" s="20">
        <f t="shared" ref="IS17:IT17" si="958">IR17</f>
        <v>5400</v>
      </c>
      <c r="IT17" s="21">
        <f t="shared" si="958"/>
        <v>5400</v>
      </c>
      <c r="IU17" s="19">
        <v>0.0</v>
      </c>
      <c r="IV17" s="20">
        <f t="shared" ref="IV17:IW17" si="959">-IV5*$B$17</f>
        <v>2700</v>
      </c>
      <c r="IW17" s="20">
        <f t="shared" si="959"/>
        <v>2300</v>
      </c>
      <c r="IX17" s="21">
        <f>-IX5*B17</f>
        <v>2070</v>
      </c>
      <c r="IY17" s="19">
        <v>0.0</v>
      </c>
      <c r="IZ17" s="20">
        <f>-IZ5*$B$17</f>
        <v>4000</v>
      </c>
      <c r="JA17" s="20">
        <f t="shared" ref="JA17:JB17" si="960">IZ17</f>
        <v>4000</v>
      </c>
      <c r="JB17" s="21">
        <f t="shared" si="960"/>
        <v>4000</v>
      </c>
      <c r="JC17" s="19">
        <v>0.0</v>
      </c>
      <c r="JD17" s="20">
        <f>-JD5*$B$17</f>
        <v>10000</v>
      </c>
      <c r="JE17" s="20">
        <f>JD17</f>
        <v>10000</v>
      </c>
      <c r="JF17" s="20">
        <v>9709.0</v>
      </c>
      <c r="JG17" s="19">
        <v>0.0</v>
      </c>
      <c r="JH17" s="20">
        <f>-JH7*B17</f>
        <v>5000</v>
      </c>
      <c r="JI17" s="20">
        <f t="shared" ref="JI17:JJ17" si="961">JH17</f>
        <v>5000</v>
      </c>
      <c r="JJ17" s="21">
        <f t="shared" si="961"/>
        <v>5000</v>
      </c>
      <c r="JK17" s="19">
        <v>0.0</v>
      </c>
      <c r="JL17" s="20">
        <f>-JL5*$B$17</f>
        <v>2000</v>
      </c>
      <c r="JM17" s="20">
        <f t="shared" ref="JM17:JN17" si="962">JL17</f>
        <v>2000</v>
      </c>
      <c r="JN17" s="21">
        <f t="shared" si="962"/>
        <v>2000</v>
      </c>
      <c r="JO17" s="19">
        <v>0.0</v>
      </c>
      <c r="JP17" s="20">
        <v>0.0</v>
      </c>
      <c r="JQ17" s="20">
        <f>-JQ5*$B$17</f>
        <v>945</v>
      </c>
      <c r="JR17" s="21">
        <f>JQ17</f>
        <v>945</v>
      </c>
      <c r="JS17" s="19">
        <v>0.0</v>
      </c>
      <c r="JT17" s="20">
        <v>100.0</v>
      </c>
      <c r="JU17" s="20">
        <f t="shared" ref="JU17:JV17" si="963">JT17</f>
        <v>100</v>
      </c>
      <c r="JV17" s="21">
        <f t="shared" si="963"/>
        <v>100</v>
      </c>
      <c r="JW17" s="19">
        <v>0.0</v>
      </c>
      <c r="JX17" s="20">
        <f>-JX5*$B$17</f>
        <v>5347.5</v>
      </c>
      <c r="JY17" s="20">
        <f t="shared" ref="JY17:JZ17" si="964">JX17</f>
        <v>5347.5</v>
      </c>
      <c r="JZ17" s="21">
        <f t="shared" si="964"/>
        <v>5347.5</v>
      </c>
    </row>
    <row r="18" ht="15.75" customHeight="1">
      <c r="A18" s="24" t="s">
        <v>96</v>
      </c>
      <c r="B18" s="18"/>
      <c r="C18" s="19">
        <v>30000.0</v>
      </c>
      <c r="D18" s="20">
        <f t="shared" ref="D18:F18" si="965">C18</f>
        <v>30000</v>
      </c>
      <c r="E18" s="20">
        <f t="shared" si="965"/>
        <v>30000</v>
      </c>
      <c r="F18" s="21">
        <f t="shared" si="965"/>
        <v>30000</v>
      </c>
      <c r="G18" s="19">
        <v>0.0</v>
      </c>
      <c r="H18" s="20">
        <f t="shared" ref="H18:J18" si="966">G18</f>
        <v>0</v>
      </c>
      <c r="I18" s="20">
        <f t="shared" si="966"/>
        <v>0</v>
      </c>
      <c r="J18" s="21">
        <f t="shared" si="966"/>
        <v>0</v>
      </c>
      <c r="K18" s="19">
        <v>0.0</v>
      </c>
      <c r="L18" s="20">
        <f t="shared" ref="L18:N18" si="967">K18</f>
        <v>0</v>
      </c>
      <c r="M18" s="20">
        <f t="shared" si="967"/>
        <v>0</v>
      </c>
      <c r="N18" s="21">
        <f t="shared" si="967"/>
        <v>0</v>
      </c>
      <c r="O18" s="19">
        <v>5000.0</v>
      </c>
      <c r="P18" s="20">
        <f t="shared" ref="P18:R18" si="968">O18</f>
        <v>5000</v>
      </c>
      <c r="Q18" s="20">
        <f t="shared" si="968"/>
        <v>5000</v>
      </c>
      <c r="R18" s="21">
        <f t="shared" si="968"/>
        <v>5000</v>
      </c>
      <c r="S18" s="19">
        <v>3000.0</v>
      </c>
      <c r="T18" s="20">
        <f t="shared" ref="T18:V18" si="969">S18</f>
        <v>3000</v>
      </c>
      <c r="U18" s="20">
        <f t="shared" si="969"/>
        <v>3000</v>
      </c>
      <c r="V18" s="21">
        <f t="shared" si="969"/>
        <v>3000</v>
      </c>
      <c r="W18" s="36">
        <v>50000.0</v>
      </c>
      <c r="X18" s="20">
        <f t="shared" ref="X18:Z18" si="970">W18</f>
        <v>50000</v>
      </c>
      <c r="Y18" s="20">
        <f t="shared" si="970"/>
        <v>50000</v>
      </c>
      <c r="Z18" s="21">
        <f t="shared" si="970"/>
        <v>50000</v>
      </c>
      <c r="AA18" s="19">
        <v>0.0</v>
      </c>
      <c r="AB18" s="20">
        <f t="shared" ref="AB18:AD18" si="971">AA18</f>
        <v>0</v>
      </c>
      <c r="AC18" s="20">
        <f t="shared" si="971"/>
        <v>0</v>
      </c>
      <c r="AD18" s="21">
        <f t="shared" si="971"/>
        <v>0</v>
      </c>
      <c r="AE18" s="19">
        <v>0.0</v>
      </c>
      <c r="AF18" s="20">
        <f t="shared" ref="AF18:AH18" si="972">AE18</f>
        <v>0</v>
      </c>
      <c r="AG18" s="20">
        <f t="shared" si="972"/>
        <v>0</v>
      </c>
      <c r="AH18" s="21">
        <f t="shared" si="972"/>
        <v>0</v>
      </c>
      <c r="AI18" s="19">
        <v>0.0</v>
      </c>
      <c r="AJ18" s="20">
        <f t="shared" ref="AJ18:AL18" si="973">AI18</f>
        <v>0</v>
      </c>
      <c r="AK18" s="20">
        <f t="shared" si="973"/>
        <v>0</v>
      </c>
      <c r="AL18" s="21">
        <f t="shared" si="973"/>
        <v>0</v>
      </c>
      <c r="AM18" s="19">
        <v>15000.0</v>
      </c>
      <c r="AN18" s="20">
        <f t="shared" ref="AN18:AP18" si="974">AM18</f>
        <v>15000</v>
      </c>
      <c r="AO18" s="20">
        <f t="shared" si="974"/>
        <v>15000</v>
      </c>
      <c r="AP18" s="21">
        <f t="shared" si="974"/>
        <v>15000</v>
      </c>
      <c r="AQ18" s="19">
        <v>20000.0</v>
      </c>
      <c r="AR18" s="20">
        <f t="shared" ref="AR18:AT18" si="975">AQ18</f>
        <v>20000</v>
      </c>
      <c r="AS18" s="20">
        <f t="shared" si="975"/>
        <v>20000</v>
      </c>
      <c r="AT18" s="21">
        <f t="shared" si="975"/>
        <v>20000</v>
      </c>
      <c r="AU18" s="19">
        <v>65000.0</v>
      </c>
      <c r="AV18" s="20">
        <f t="shared" ref="AV18:AX18" si="976">AU18</f>
        <v>65000</v>
      </c>
      <c r="AW18" s="20">
        <f t="shared" si="976"/>
        <v>65000</v>
      </c>
      <c r="AX18" s="21">
        <f t="shared" si="976"/>
        <v>65000</v>
      </c>
      <c r="AY18" s="19">
        <v>5000.0</v>
      </c>
      <c r="AZ18" s="20">
        <f t="shared" ref="AZ18:BB18" si="977">AY18</f>
        <v>5000</v>
      </c>
      <c r="BA18" s="20">
        <f t="shared" si="977"/>
        <v>5000</v>
      </c>
      <c r="BB18" s="21">
        <f t="shared" si="977"/>
        <v>5000</v>
      </c>
      <c r="BC18" s="19">
        <v>0.0</v>
      </c>
      <c r="BD18" s="20">
        <f t="shared" ref="BD18:BF18" si="978">BC18</f>
        <v>0</v>
      </c>
      <c r="BE18" s="20">
        <f t="shared" si="978"/>
        <v>0</v>
      </c>
      <c r="BF18" s="21">
        <f t="shared" si="978"/>
        <v>0</v>
      </c>
      <c r="BG18" s="19">
        <v>5000.0</v>
      </c>
      <c r="BH18" s="20">
        <v>0.0</v>
      </c>
      <c r="BI18" s="20">
        <f t="shared" si="979"/>
        <v>0</v>
      </c>
      <c r="BJ18" s="21">
        <f t="shared" ref="BJ18:BJ19" si="1048">BI18</f>
        <v>0</v>
      </c>
      <c r="BK18" s="19">
        <v>10000.0</v>
      </c>
      <c r="BL18" s="20">
        <f t="shared" ref="BL18:BN18" si="980">BK18</f>
        <v>10000</v>
      </c>
      <c r="BM18" s="20">
        <f t="shared" si="980"/>
        <v>10000</v>
      </c>
      <c r="BN18" s="21">
        <f t="shared" si="980"/>
        <v>10000</v>
      </c>
      <c r="BO18" s="19">
        <v>0.0</v>
      </c>
      <c r="BP18" s="20">
        <f t="shared" ref="BP18:BR18" si="981">BO18</f>
        <v>0</v>
      </c>
      <c r="BQ18" s="20">
        <f t="shared" si="981"/>
        <v>0</v>
      </c>
      <c r="BR18" s="21">
        <f t="shared" si="981"/>
        <v>0</v>
      </c>
      <c r="BS18" s="19">
        <v>0.0</v>
      </c>
      <c r="BT18" s="20">
        <f t="shared" ref="BT18:BV18" si="982">BS18</f>
        <v>0</v>
      </c>
      <c r="BU18" s="20">
        <f t="shared" si="982"/>
        <v>0</v>
      </c>
      <c r="BV18" s="21">
        <f t="shared" si="982"/>
        <v>0</v>
      </c>
      <c r="BW18" s="19">
        <v>0.0</v>
      </c>
      <c r="BX18" s="20">
        <f t="shared" ref="BX18:BZ18" si="983">BW18</f>
        <v>0</v>
      </c>
      <c r="BY18" s="20">
        <f t="shared" si="983"/>
        <v>0</v>
      </c>
      <c r="BZ18" s="21">
        <f t="shared" si="983"/>
        <v>0</v>
      </c>
      <c r="CA18" s="19">
        <v>0.0</v>
      </c>
      <c r="CB18" s="20">
        <f t="shared" ref="CB18:CD18" si="984">CA18</f>
        <v>0</v>
      </c>
      <c r="CC18" s="20">
        <f t="shared" si="984"/>
        <v>0</v>
      </c>
      <c r="CD18" s="21">
        <f t="shared" si="984"/>
        <v>0</v>
      </c>
      <c r="CE18" s="19">
        <v>0.0</v>
      </c>
      <c r="CF18" s="20">
        <f t="shared" ref="CF18:CH18" si="985">CE18</f>
        <v>0</v>
      </c>
      <c r="CG18" s="20">
        <f t="shared" si="985"/>
        <v>0</v>
      </c>
      <c r="CH18" s="21">
        <f t="shared" si="985"/>
        <v>0</v>
      </c>
      <c r="CI18" s="19">
        <v>0.0</v>
      </c>
      <c r="CJ18" s="20">
        <f t="shared" ref="CJ18:CL18" si="986">CI18</f>
        <v>0</v>
      </c>
      <c r="CK18" s="20">
        <f t="shared" si="986"/>
        <v>0</v>
      </c>
      <c r="CL18" s="21">
        <f t="shared" si="986"/>
        <v>0</v>
      </c>
      <c r="CM18" s="19">
        <v>0.0</v>
      </c>
      <c r="CN18" s="20">
        <f t="shared" ref="CN18:CP18" si="987">CM18</f>
        <v>0</v>
      </c>
      <c r="CO18" s="20">
        <f t="shared" si="987"/>
        <v>0</v>
      </c>
      <c r="CP18" s="21">
        <f t="shared" si="987"/>
        <v>0</v>
      </c>
      <c r="CQ18" s="19">
        <v>0.0</v>
      </c>
      <c r="CR18" s="20">
        <f t="shared" ref="CR18:CT18" si="988">CQ18</f>
        <v>0</v>
      </c>
      <c r="CS18" s="20">
        <f t="shared" si="988"/>
        <v>0</v>
      </c>
      <c r="CT18" s="21">
        <f t="shared" si="988"/>
        <v>0</v>
      </c>
      <c r="CU18" s="19">
        <v>0.0</v>
      </c>
      <c r="CV18" s="20">
        <f t="shared" ref="CV18:CX18" si="989">CU18</f>
        <v>0</v>
      </c>
      <c r="CW18" s="20">
        <f t="shared" si="989"/>
        <v>0</v>
      </c>
      <c r="CX18" s="21">
        <f t="shared" si="989"/>
        <v>0</v>
      </c>
      <c r="CY18" s="19">
        <v>0.0</v>
      </c>
      <c r="CZ18" s="20">
        <f t="shared" ref="CZ18:DB18" si="990">CY18</f>
        <v>0</v>
      </c>
      <c r="DA18" s="20">
        <f t="shared" si="990"/>
        <v>0</v>
      </c>
      <c r="DB18" s="21">
        <f t="shared" si="990"/>
        <v>0</v>
      </c>
      <c r="DC18" s="19">
        <v>0.0</v>
      </c>
      <c r="DD18" s="20">
        <f t="shared" ref="DD18:DF18" si="991">DC18</f>
        <v>0</v>
      </c>
      <c r="DE18" s="20">
        <f t="shared" si="991"/>
        <v>0</v>
      </c>
      <c r="DF18" s="21">
        <f t="shared" si="991"/>
        <v>0</v>
      </c>
      <c r="DG18" s="19">
        <v>0.0</v>
      </c>
      <c r="DH18" s="20">
        <f t="shared" ref="DH18:DJ18" si="992">DG18</f>
        <v>0</v>
      </c>
      <c r="DI18" s="20">
        <f t="shared" si="992"/>
        <v>0</v>
      </c>
      <c r="DJ18" s="21">
        <f t="shared" si="992"/>
        <v>0</v>
      </c>
      <c r="DK18" s="19">
        <v>0.0</v>
      </c>
      <c r="DL18" s="20">
        <f t="shared" ref="DL18:DN18" si="993">DK18</f>
        <v>0</v>
      </c>
      <c r="DM18" s="20">
        <f t="shared" si="993"/>
        <v>0</v>
      </c>
      <c r="DN18" s="21">
        <f t="shared" si="993"/>
        <v>0</v>
      </c>
      <c r="DO18" s="19">
        <v>0.0</v>
      </c>
      <c r="DP18" s="20">
        <f t="shared" ref="DP18:DR18" si="994">DO18</f>
        <v>0</v>
      </c>
      <c r="DQ18" s="20">
        <f t="shared" si="994"/>
        <v>0</v>
      </c>
      <c r="DR18" s="21">
        <f t="shared" si="994"/>
        <v>0</v>
      </c>
      <c r="DS18" s="19">
        <v>0.0</v>
      </c>
      <c r="DT18" s="20">
        <v>0.0</v>
      </c>
      <c r="DU18" s="20">
        <v>0.0</v>
      </c>
      <c r="DV18" s="21">
        <f>DU18</f>
        <v>0</v>
      </c>
      <c r="DW18" s="19">
        <v>0.0</v>
      </c>
      <c r="DX18" s="20">
        <f t="shared" ref="DX18:DZ18" si="995">DW18</f>
        <v>0</v>
      </c>
      <c r="DY18" s="20">
        <f t="shared" si="995"/>
        <v>0</v>
      </c>
      <c r="DZ18" s="21">
        <f t="shared" si="995"/>
        <v>0</v>
      </c>
      <c r="EA18" s="19">
        <v>0.0</v>
      </c>
      <c r="EB18" s="20">
        <f t="shared" ref="EB18:ED18" si="996">EA18</f>
        <v>0</v>
      </c>
      <c r="EC18" s="20">
        <f t="shared" si="996"/>
        <v>0</v>
      </c>
      <c r="ED18" s="21">
        <f t="shared" si="996"/>
        <v>0</v>
      </c>
      <c r="EE18" s="19">
        <v>0.0</v>
      </c>
      <c r="EF18" s="20">
        <f t="shared" ref="EF18:EH18" si="997">EE18</f>
        <v>0</v>
      </c>
      <c r="EG18" s="20">
        <f t="shared" si="997"/>
        <v>0</v>
      </c>
      <c r="EH18" s="21">
        <f t="shared" si="997"/>
        <v>0</v>
      </c>
      <c r="EI18" s="19">
        <v>0.0</v>
      </c>
      <c r="EJ18" s="21">
        <f t="shared" ref="EJ18:EK18" si="998">EI18</f>
        <v>0</v>
      </c>
      <c r="EK18" s="21">
        <f t="shared" si="998"/>
        <v>0</v>
      </c>
      <c r="EL18" s="21">
        <f t="shared" si="797"/>
        <v>0</v>
      </c>
      <c r="EM18" s="19">
        <v>0.0</v>
      </c>
      <c r="EN18" s="20">
        <f t="shared" ref="EN18:EP18" si="999">EM18</f>
        <v>0</v>
      </c>
      <c r="EO18" s="20">
        <f t="shared" si="999"/>
        <v>0</v>
      </c>
      <c r="EP18" s="21">
        <f t="shared" si="999"/>
        <v>0</v>
      </c>
      <c r="EQ18" s="19">
        <v>0.0</v>
      </c>
      <c r="ER18" s="20">
        <f t="shared" ref="ER18:ET18" si="1000">EQ18</f>
        <v>0</v>
      </c>
      <c r="ES18" s="20">
        <f t="shared" si="1000"/>
        <v>0</v>
      </c>
      <c r="ET18" s="21">
        <f t="shared" si="1000"/>
        <v>0</v>
      </c>
      <c r="EU18" s="19">
        <v>0.0</v>
      </c>
      <c r="EV18" s="20">
        <f t="shared" ref="EV18:EX18" si="1001">EU18</f>
        <v>0</v>
      </c>
      <c r="EW18" s="20">
        <f t="shared" si="1001"/>
        <v>0</v>
      </c>
      <c r="EX18" s="21">
        <f t="shared" si="1001"/>
        <v>0</v>
      </c>
      <c r="EY18" s="19">
        <v>0.0</v>
      </c>
      <c r="EZ18" s="20">
        <f t="shared" ref="EZ18:FB18" si="1002">EY18</f>
        <v>0</v>
      </c>
      <c r="FA18" s="20">
        <f t="shared" si="1002"/>
        <v>0</v>
      </c>
      <c r="FB18" s="21">
        <f t="shared" si="1002"/>
        <v>0</v>
      </c>
      <c r="FC18" s="19">
        <v>0.0</v>
      </c>
      <c r="FD18" s="20">
        <f t="shared" ref="FD18:FF18" si="1003">FC18</f>
        <v>0</v>
      </c>
      <c r="FE18" s="20">
        <f t="shared" si="1003"/>
        <v>0</v>
      </c>
      <c r="FF18" s="21">
        <f t="shared" si="1003"/>
        <v>0</v>
      </c>
      <c r="FG18" s="19">
        <v>0.0</v>
      </c>
      <c r="FH18" s="20">
        <f t="shared" ref="FH18:FJ18" si="1004">FG18</f>
        <v>0</v>
      </c>
      <c r="FI18" s="20">
        <f t="shared" si="1004"/>
        <v>0</v>
      </c>
      <c r="FJ18" s="21">
        <f t="shared" si="1004"/>
        <v>0</v>
      </c>
      <c r="FK18" s="19">
        <v>0.0</v>
      </c>
      <c r="FL18" s="20">
        <f t="shared" ref="FL18:FN18" si="1005">FK18</f>
        <v>0</v>
      </c>
      <c r="FM18" s="20">
        <f t="shared" si="1005"/>
        <v>0</v>
      </c>
      <c r="FN18" s="21">
        <f t="shared" si="1005"/>
        <v>0</v>
      </c>
      <c r="FO18" s="19">
        <v>0.0</v>
      </c>
      <c r="FP18" s="20">
        <f t="shared" ref="FP18:FR18" si="1006">FO18</f>
        <v>0</v>
      </c>
      <c r="FQ18" s="20">
        <f t="shared" si="1006"/>
        <v>0</v>
      </c>
      <c r="FR18" s="21">
        <f t="shared" si="1006"/>
        <v>0</v>
      </c>
      <c r="FS18" s="19">
        <v>0.0</v>
      </c>
      <c r="FT18" s="20">
        <f t="shared" ref="FT18:FV18" si="1007">FS18</f>
        <v>0</v>
      </c>
      <c r="FU18" s="20">
        <f t="shared" si="1007"/>
        <v>0</v>
      </c>
      <c r="FV18" s="21">
        <f t="shared" si="1007"/>
        <v>0</v>
      </c>
      <c r="FW18" s="19">
        <v>0.0</v>
      </c>
      <c r="FX18" s="20">
        <f t="shared" ref="FX18:FZ18" si="1008">FW18</f>
        <v>0</v>
      </c>
      <c r="FY18" s="20">
        <f t="shared" si="1008"/>
        <v>0</v>
      </c>
      <c r="FZ18" s="21">
        <f t="shared" si="1008"/>
        <v>0</v>
      </c>
      <c r="GA18" s="19">
        <v>0.0</v>
      </c>
      <c r="GB18" s="20">
        <f t="shared" ref="GB18:GD18" si="1009">GA18</f>
        <v>0</v>
      </c>
      <c r="GC18" s="20">
        <f t="shared" si="1009"/>
        <v>0</v>
      </c>
      <c r="GD18" s="21">
        <f t="shared" si="1009"/>
        <v>0</v>
      </c>
      <c r="GE18" s="19">
        <v>0.0</v>
      </c>
      <c r="GF18" s="20">
        <f t="shared" ref="GF18:GH18" si="1010">GE18</f>
        <v>0</v>
      </c>
      <c r="GG18" s="20">
        <f t="shared" si="1010"/>
        <v>0</v>
      </c>
      <c r="GH18" s="21">
        <f t="shared" si="1010"/>
        <v>0</v>
      </c>
      <c r="GI18" s="19">
        <v>0.0</v>
      </c>
      <c r="GJ18" s="20">
        <f t="shared" ref="GJ18:GL18" si="1011">GI18</f>
        <v>0</v>
      </c>
      <c r="GK18" s="20">
        <f t="shared" si="1011"/>
        <v>0</v>
      </c>
      <c r="GL18" s="20">
        <f t="shared" si="1011"/>
        <v>0</v>
      </c>
      <c r="GM18" s="22">
        <v>0.0</v>
      </c>
      <c r="GN18" s="20">
        <f t="shared" ref="GN18:GP18" si="1012">GM18</f>
        <v>0</v>
      </c>
      <c r="GO18" s="20">
        <f t="shared" si="1012"/>
        <v>0</v>
      </c>
      <c r="GP18" s="21">
        <f t="shared" si="1012"/>
        <v>0</v>
      </c>
      <c r="GQ18" s="19">
        <v>0.0</v>
      </c>
      <c r="GR18" s="20">
        <f t="shared" ref="GR18:GT18" si="1013">GQ18</f>
        <v>0</v>
      </c>
      <c r="GS18" s="20">
        <f t="shared" si="1013"/>
        <v>0</v>
      </c>
      <c r="GT18" s="21">
        <f t="shared" si="1013"/>
        <v>0</v>
      </c>
      <c r="GU18" s="19">
        <v>0.0</v>
      </c>
      <c r="GV18" s="20">
        <f t="shared" ref="GV18:GX18" si="1014">GU18</f>
        <v>0</v>
      </c>
      <c r="GW18" s="20">
        <f t="shared" si="1014"/>
        <v>0</v>
      </c>
      <c r="GX18" s="21">
        <f t="shared" si="1014"/>
        <v>0</v>
      </c>
      <c r="GY18" s="19">
        <v>0.0</v>
      </c>
      <c r="GZ18" s="20">
        <f t="shared" ref="GZ18:HB18" si="1015">GY18</f>
        <v>0</v>
      </c>
      <c r="HA18" s="20">
        <f t="shared" si="1015"/>
        <v>0</v>
      </c>
      <c r="HB18" s="21">
        <f t="shared" si="1015"/>
        <v>0</v>
      </c>
      <c r="HC18" s="19">
        <v>0.0</v>
      </c>
      <c r="HD18" s="20">
        <f t="shared" ref="HD18:HF18" si="1016">HC18</f>
        <v>0</v>
      </c>
      <c r="HE18" s="20">
        <f t="shared" si="1016"/>
        <v>0</v>
      </c>
      <c r="HF18" s="21">
        <f t="shared" si="1016"/>
        <v>0</v>
      </c>
      <c r="HG18" s="19">
        <v>0.0</v>
      </c>
      <c r="HH18" s="20">
        <f t="shared" ref="HH18:HJ18" si="1017">HG18</f>
        <v>0</v>
      </c>
      <c r="HI18" s="20">
        <f t="shared" si="1017"/>
        <v>0</v>
      </c>
      <c r="HJ18" s="21">
        <f t="shared" si="1017"/>
        <v>0</v>
      </c>
      <c r="HK18" s="19">
        <v>0.0</v>
      </c>
      <c r="HL18" s="20">
        <f t="shared" ref="HL18:HN18" si="1018">HK18</f>
        <v>0</v>
      </c>
      <c r="HM18" s="20">
        <f t="shared" si="1018"/>
        <v>0</v>
      </c>
      <c r="HN18" s="21">
        <f t="shared" si="1018"/>
        <v>0</v>
      </c>
      <c r="HO18" s="19">
        <v>0.0</v>
      </c>
      <c r="HP18" s="20">
        <f t="shared" ref="HP18:HR18" si="1019">HO18</f>
        <v>0</v>
      </c>
      <c r="HQ18" s="20">
        <f t="shared" si="1019"/>
        <v>0</v>
      </c>
      <c r="HR18" s="21">
        <f t="shared" si="1019"/>
        <v>0</v>
      </c>
      <c r="HS18" s="19">
        <v>0.0</v>
      </c>
      <c r="HT18" s="20">
        <f t="shared" ref="HT18:HV18" si="1020">HS18</f>
        <v>0</v>
      </c>
      <c r="HU18" s="20">
        <f t="shared" si="1020"/>
        <v>0</v>
      </c>
      <c r="HV18" s="21">
        <f t="shared" si="1020"/>
        <v>0</v>
      </c>
      <c r="HW18" s="19">
        <v>0.0</v>
      </c>
      <c r="HX18" s="20">
        <f t="shared" ref="HX18:HZ18" si="1021">HW18</f>
        <v>0</v>
      </c>
      <c r="HY18" s="20">
        <f t="shared" si="1021"/>
        <v>0</v>
      </c>
      <c r="HZ18" s="21">
        <f t="shared" si="1021"/>
        <v>0</v>
      </c>
      <c r="IA18" s="19">
        <v>0.0</v>
      </c>
      <c r="IB18" s="20">
        <f t="shared" ref="IB18:ID18" si="1022">IA18</f>
        <v>0</v>
      </c>
      <c r="IC18" s="20">
        <f t="shared" si="1022"/>
        <v>0</v>
      </c>
      <c r="ID18" s="21">
        <f t="shared" si="1022"/>
        <v>0</v>
      </c>
      <c r="IE18" s="19">
        <v>0.0</v>
      </c>
      <c r="IF18" s="20">
        <f t="shared" ref="IF18:IH18" si="1023">IE18</f>
        <v>0</v>
      </c>
      <c r="IG18" s="20">
        <f t="shared" si="1023"/>
        <v>0</v>
      </c>
      <c r="IH18" s="21">
        <f t="shared" si="1023"/>
        <v>0</v>
      </c>
      <c r="II18" s="19">
        <v>0.0</v>
      </c>
      <c r="IJ18" s="20">
        <f t="shared" ref="IJ18:IL18" si="1024">II18</f>
        <v>0</v>
      </c>
      <c r="IK18" s="20">
        <f t="shared" si="1024"/>
        <v>0</v>
      </c>
      <c r="IL18" s="20">
        <f t="shared" si="1024"/>
        <v>0</v>
      </c>
      <c r="IM18" s="35">
        <v>0.0</v>
      </c>
      <c r="IN18" s="20">
        <f t="shared" ref="IN18:IP18" si="1025">IM18</f>
        <v>0</v>
      </c>
      <c r="IO18" s="20">
        <f t="shared" si="1025"/>
        <v>0</v>
      </c>
      <c r="IP18" s="21">
        <f t="shared" si="1025"/>
        <v>0</v>
      </c>
      <c r="IQ18" s="19">
        <v>0.0</v>
      </c>
      <c r="IR18" s="20">
        <f t="shared" ref="IR18:IT18" si="1026">IQ18</f>
        <v>0</v>
      </c>
      <c r="IS18" s="20">
        <f t="shared" si="1026"/>
        <v>0</v>
      </c>
      <c r="IT18" s="21">
        <f t="shared" si="1026"/>
        <v>0</v>
      </c>
      <c r="IU18" s="19">
        <v>0.0</v>
      </c>
      <c r="IV18" s="20">
        <f t="shared" ref="IV18:IX18" si="1027">IU18</f>
        <v>0</v>
      </c>
      <c r="IW18" s="20">
        <f t="shared" si="1027"/>
        <v>0</v>
      </c>
      <c r="IX18" s="21">
        <f t="shared" si="1027"/>
        <v>0</v>
      </c>
      <c r="IY18" s="19">
        <v>0.0</v>
      </c>
      <c r="IZ18" s="20">
        <f t="shared" ref="IZ18:JB18" si="1028">IY18</f>
        <v>0</v>
      </c>
      <c r="JA18" s="20">
        <f t="shared" si="1028"/>
        <v>0</v>
      </c>
      <c r="JB18" s="21">
        <f t="shared" si="1028"/>
        <v>0</v>
      </c>
      <c r="JC18" s="19">
        <v>0.0</v>
      </c>
      <c r="JD18" s="20">
        <f t="shared" ref="JD18:JF18" si="1029">JC18</f>
        <v>0</v>
      </c>
      <c r="JE18" s="20">
        <f t="shared" si="1029"/>
        <v>0</v>
      </c>
      <c r="JF18" s="20">
        <f t="shared" si="1029"/>
        <v>0</v>
      </c>
      <c r="JG18" s="19">
        <v>0.0</v>
      </c>
      <c r="JH18" s="20">
        <f t="shared" ref="JH18:JJ18" si="1030">JG18</f>
        <v>0</v>
      </c>
      <c r="JI18" s="20">
        <f t="shared" si="1030"/>
        <v>0</v>
      </c>
      <c r="JJ18" s="21">
        <f t="shared" si="1030"/>
        <v>0</v>
      </c>
      <c r="JK18" s="19">
        <v>24500.0</v>
      </c>
      <c r="JL18" s="20">
        <v>19500.0</v>
      </c>
      <c r="JM18" s="20">
        <f t="shared" ref="JM18:JN18" si="1031">JL18</f>
        <v>19500</v>
      </c>
      <c r="JN18" s="21">
        <f t="shared" si="1031"/>
        <v>19500</v>
      </c>
      <c r="JO18" s="19">
        <v>0.0</v>
      </c>
      <c r="JP18" s="20">
        <f t="shared" ref="JP18:JR18" si="1032">JO18</f>
        <v>0</v>
      </c>
      <c r="JQ18" s="20">
        <f t="shared" si="1032"/>
        <v>0</v>
      </c>
      <c r="JR18" s="21">
        <f t="shared" si="1032"/>
        <v>0</v>
      </c>
      <c r="JS18" s="19">
        <v>0.0</v>
      </c>
      <c r="JT18" s="20">
        <f t="shared" ref="JT18:JV18" si="1033">JS18</f>
        <v>0</v>
      </c>
      <c r="JU18" s="20">
        <f t="shared" si="1033"/>
        <v>0</v>
      </c>
      <c r="JV18" s="21">
        <f t="shared" si="1033"/>
        <v>0</v>
      </c>
      <c r="JW18" s="19">
        <v>0.0</v>
      </c>
      <c r="JX18" s="20">
        <f t="shared" ref="JX18:JZ18" si="1034">JW18</f>
        <v>0</v>
      </c>
      <c r="JY18" s="20">
        <f t="shared" si="1034"/>
        <v>0</v>
      </c>
      <c r="JZ18" s="21">
        <f t="shared" si="1034"/>
        <v>0</v>
      </c>
    </row>
    <row r="19" ht="15.75" customHeight="1">
      <c r="A19" s="24" t="s">
        <v>97</v>
      </c>
      <c r="B19" s="18"/>
      <c r="C19" s="19">
        <v>120000.0</v>
      </c>
      <c r="D19" s="20">
        <f t="shared" ref="D19:F19" si="1035">C19</f>
        <v>120000</v>
      </c>
      <c r="E19" s="20">
        <f t="shared" si="1035"/>
        <v>120000</v>
      </c>
      <c r="F19" s="21">
        <f t="shared" si="1035"/>
        <v>120000</v>
      </c>
      <c r="G19" s="19">
        <v>0.0</v>
      </c>
      <c r="H19" s="20">
        <f t="shared" ref="H19:J19" si="1036">G19</f>
        <v>0</v>
      </c>
      <c r="I19" s="20">
        <f t="shared" si="1036"/>
        <v>0</v>
      </c>
      <c r="J19" s="21">
        <f t="shared" si="1036"/>
        <v>0</v>
      </c>
      <c r="K19" s="19">
        <v>0.0</v>
      </c>
      <c r="L19" s="20">
        <f t="shared" ref="L19:N19" si="1037">K19</f>
        <v>0</v>
      </c>
      <c r="M19" s="20">
        <f t="shared" si="1037"/>
        <v>0</v>
      </c>
      <c r="N19" s="21">
        <f t="shared" si="1037"/>
        <v>0</v>
      </c>
      <c r="O19" s="19">
        <v>18000.0</v>
      </c>
      <c r="P19" s="20">
        <f t="shared" ref="P19:R19" si="1038">O19</f>
        <v>18000</v>
      </c>
      <c r="Q19" s="20">
        <f t="shared" si="1038"/>
        <v>18000</v>
      </c>
      <c r="R19" s="21">
        <f t="shared" si="1038"/>
        <v>18000</v>
      </c>
      <c r="S19" s="19">
        <v>36000.0</v>
      </c>
      <c r="T19" s="20">
        <v>17700.0</v>
      </c>
      <c r="U19" s="20">
        <v>30000.0</v>
      </c>
      <c r="V19" s="21">
        <f>U19</f>
        <v>30000</v>
      </c>
      <c r="W19" s="34">
        <v>55000.0</v>
      </c>
      <c r="X19" s="20">
        <f t="shared" ref="X19:Z19" si="1039">W19</f>
        <v>55000</v>
      </c>
      <c r="Y19" s="20">
        <f t="shared" si="1039"/>
        <v>55000</v>
      </c>
      <c r="Z19" s="21">
        <f t="shared" si="1039"/>
        <v>55000</v>
      </c>
      <c r="AA19" s="19">
        <v>0.0</v>
      </c>
      <c r="AB19" s="20">
        <f t="shared" ref="AB19:AD19" si="1040">AA19</f>
        <v>0</v>
      </c>
      <c r="AC19" s="20">
        <f t="shared" si="1040"/>
        <v>0</v>
      </c>
      <c r="AD19" s="21">
        <f t="shared" si="1040"/>
        <v>0</v>
      </c>
      <c r="AE19" s="19">
        <v>0.0</v>
      </c>
      <c r="AF19" s="20">
        <f t="shared" ref="AF19:AH19" si="1041">AE19</f>
        <v>0</v>
      </c>
      <c r="AG19" s="20">
        <f t="shared" si="1041"/>
        <v>0</v>
      </c>
      <c r="AH19" s="21">
        <f t="shared" si="1041"/>
        <v>0</v>
      </c>
      <c r="AI19" s="19">
        <v>0.0</v>
      </c>
      <c r="AJ19" s="20">
        <f t="shared" ref="AJ19:AL19" si="1042">AI19</f>
        <v>0</v>
      </c>
      <c r="AK19" s="20">
        <f t="shared" si="1042"/>
        <v>0</v>
      </c>
      <c r="AL19" s="21">
        <f t="shared" si="1042"/>
        <v>0</v>
      </c>
      <c r="AM19" s="19">
        <v>119560.6</v>
      </c>
      <c r="AN19" s="20">
        <f>AM19-82230.6</f>
        <v>37330</v>
      </c>
      <c r="AO19" s="20">
        <f t="shared" ref="AO19:AP19" si="1043">AN19</f>
        <v>37330</v>
      </c>
      <c r="AP19" s="21">
        <f t="shared" si="1043"/>
        <v>37330</v>
      </c>
      <c r="AQ19" s="19">
        <v>80000.0</v>
      </c>
      <c r="AR19" s="20">
        <v>20600.0</v>
      </c>
      <c r="AS19" s="20">
        <f t="shared" ref="AS19:AT19" si="1044">AR19</f>
        <v>20600</v>
      </c>
      <c r="AT19" s="21">
        <f t="shared" si="1044"/>
        <v>20600</v>
      </c>
      <c r="AU19" s="19">
        <v>130000.0</v>
      </c>
      <c r="AV19" s="20">
        <f t="shared" ref="AV19:AX19" si="1045">AU19</f>
        <v>130000</v>
      </c>
      <c r="AW19" s="20">
        <f t="shared" si="1045"/>
        <v>130000</v>
      </c>
      <c r="AX19" s="21">
        <f t="shared" si="1045"/>
        <v>130000</v>
      </c>
      <c r="AY19" s="19">
        <v>24000.0</v>
      </c>
      <c r="AZ19" s="20">
        <f t="shared" ref="AZ19:BB19" si="1046">AY19</f>
        <v>24000</v>
      </c>
      <c r="BA19" s="20">
        <f t="shared" si="1046"/>
        <v>24000</v>
      </c>
      <c r="BB19" s="21">
        <f t="shared" si="1046"/>
        <v>24000</v>
      </c>
      <c r="BC19" s="19">
        <v>140000.0</v>
      </c>
      <c r="BD19" s="20">
        <f t="shared" ref="BD19:BF19" si="1047">BC19</f>
        <v>140000</v>
      </c>
      <c r="BE19" s="20">
        <f t="shared" si="1047"/>
        <v>140000</v>
      </c>
      <c r="BF19" s="21">
        <f t="shared" si="1047"/>
        <v>140000</v>
      </c>
      <c r="BG19" s="19">
        <v>20000.0</v>
      </c>
      <c r="BH19" s="20">
        <v>0.0</v>
      </c>
      <c r="BI19" s="20">
        <f t="shared" si="979"/>
        <v>0</v>
      </c>
      <c r="BJ19" s="21">
        <f t="shared" si="1048"/>
        <v>0</v>
      </c>
      <c r="BK19" s="19">
        <v>100000.0</v>
      </c>
      <c r="BL19" s="20">
        <f t="shared" ref="BL19:BN19" si="1049">BK19</f>
        <v>100000</v>
      </c>
      <c r="BM19" s="20">
        <f t="shared" si="1049"/>
        <v>100000</v>
      </c>
      <c r="BN19" s="21">
        <f t="shared" si="1049"/>
        <v>100000</v>
      </c>
      <c r="BO19" s="19">
        <v>0.0</v>
      </c>
      <c r="BP19" s="20">
        <f t="shared" ref="BP19:BR19" si="1050">BO19</f>
        <v>0</v>
      </c>
      <c r="BQ19" s="20">
        <f t="shared" si="1050"/>
        <v>0</v>
      </c>
      <c r="BR19" s="21">
        <f t="shared" si="1050"/>
        <v>0</v>
      </c>
      <c r="BS19" s="19">
        <v>0.0</v>
      </c>
      <c r="BT19" s="20">
        <f t="shared" ref="BT19:BV19" si="1051">BS19</f>
        <v>0</v>
      </c>
      <c r="BU19" s="20">
        <f t="shared" si="1051"/>
        <v>0</v>
      </c>
      <c r="BV19" s="21">
        <f t="shared" si="1051"/>
        <v>0</v>
      </c>
      <c r="BW19" s="19">
        <v>0.0</v>
      </c>
      <c r="BX19" s="20">
        <f t="shared" ref="BX19:BZ19" si="1052">BW19</f>
        <v>0</v>
      </c>
      <c r="BY19" s="20">
        <f t="shared" si="1052"/>
        <v>0</v>
      </c>
      <c r="BZ19" s="21">
        <f t="shared" si="1052"/>
        <v>0</v>
      </c>
      <c r="CA19" s="19">
        <v>0.0</v>
      </c>
      <c r="CB19" s="20">
        <f t="shared" ref="CB19:CD19" si="1053">CA19</f>
        <v>0</v>
      </c>
      <c r="CC19" s="20">
        <f t="shared" si="1053"/>
        <v>0</v>
      </c>
      <c r="CD19" s="21">
        <f t="shared" si="1053"/>
        <v>0</v>
      </c>
      <c r="CE19" s="19">
        <v>0.0</v>
      </c>
      <c r="CF19" s="20">
        <f t="shared" ref="CF19:CH19" si="1054">CE19</f>
        <v>0</v>
      </c>
      <c r="CG19" s="20">
        <f t="shared" si="1054"/>
        <v>0</v>
      </c>
      <c r="CH19" s="21">
        <f t="shared" si="1054"/>
        <v>0</v>
      </c>
      <c r="CI19" s="19">
        <v>0.0</v>
      </c>
      <c r="CJ19" s="20">
        <f t="shared" ref="CJ19:CL19" si="1055">CI19</f>
        <v>0</v>
      </c>
      <c r="CK19" s="20">
        <f t="shared" si="1055"/>
        <v>0</v>
      </c>
      <c r="CL19" s="21">
        <f t="shared" si="1055"/>
        <v>0</v>
      </c>
      <c r="CM19" s="19">
        <v>0.0</v>
      </c>
      <c r="CN19" s="20">
        <f t="shared" ref="CN19:CP19" si="1056">CM19</f>
        <v>0</v>
      </c>
      <c r="CO19" s="20">
        <f t="shared" si="1056"/>
        <v>0</v>
      </c>
      <c r="CP19" s="21">
        <f t="shared" si="1056"/>
        <v>0</v>
      </c>
      <c r="CQ19" s="19">
        <v>0.0</v>
      </c>
      <c r="CR19" s="20">
        <f t="shared" ref="CR19:CT19" si="1057">CQ19</f>
        <v>0</v>
      </c>
      <c r="CS19" s="20">
        <f t="shared" si="1057"/>
        <v>0</v>
      </c>
      <c r="CT19" s="21">
        <f t="shared" si="1057"/>
        <v>0</v>
      </c>
      <c r="CU19" s="19">
        <v>0.0</v>
      </c>
      <c r="CV19" s="20">
        <f t="shared" ref="CV19:CX19" si="1058">CU19</f>
        <v>0</v>
      </c>
      <c r="CW19" s="20">
        <f t="shared" si="1058"/>
        <v>0</v>
      </c>
      <c r="CX19" s="21">
        <f t="shared" si="1058"/>
        <v>0</v>
      </c>
      <c r="CY19" s="19">
        <v>0.0</v>
      </c>
      <c r="CZ19" s="20">
        <f t="shared" ref="CZ19:DB19" si="1059">CY19</f>
        <v>0</v>
      </c>
      <c r="DA19" s="20">
        <f t="shared" si="1059"/>
        <v>0</v>
      </c>
      <c r="DB19" s="21">
        <f t="shared" si="1059"/>
        <v>0</v>
      </c>
      <c r="DC19" s="19">
        <v>0.0</v>
      </c>
      <c r="DD19" s="20">
        <f t="shared" ref="DD19:DF19" si="1060">DC19</f>
        <v>0</v>
      </c>
      <c r="DE19" s="20">
        <f t="shared" si="1060"/>
        <v>0</v>
      </c>
      <c r="DF19" s="21">
        <f t="shared" si="1060"/>
        <v>0</v>
      </c>
      <c r="DG19" s="19">
        <v>19800.0</v>
      </c>
      <c r="DH19" s="20">
        <f t="shared" ref="DH19:DJ19" si="1061">DG19</f>
        <v>19800</v>
      </c>
      <c r="DI19" s="20">
        <f t="shared" si="1061"/>
        <v>19800</v>
      </c>
      <c r="DJ19" s="21">
        <f t="shared" si="1061"/>
        <v>19800</v>
      </c>
      <c r="DK19" s="19">
        <v>0.0</v>
      </c>
      <c r="DL19" s="20">
        <f t="shared" ref="DL19:DN19" si="1062">DK19</f>
        <v>0</v>
      </c>
      <c r="DM19" s="20">
        <f t="shared" si="1062"/>
        <v>0</v>
      </c>
      <c r="DN19" s="21">
        <f t="shared" si="1062"/>
        <v>0</v>
      </c>
      <c r="DO19" s="19">
        <v>0.0</v>
      </c>
      <c r="DP19" s="20">
        <f t="shared" ref="DP19:DR19" si="1063">DO19</f>
        <v>0</v>
      </c>
      <c r="DQ19" s="20">
        <f t="shared" si="1063"/>
        <v>0</v>
      </c>
      <c r="DR19" s="21">
        <f t="shared" si="1063"/>
        <v>0</v>
      </c>
      <c r="DS19" s="19">
        <v>75000.0</v>
      </c>
      <c r="DT19" s="20">
        <f t="shared" ref="DT19:DV19" si="1064">DS19</f>
        <v>75000</v>
      </c>
      <c r="DU19" s="20">
        <f t="shared" si="1064"/>
        <v>75000</v>
      </c>
      <c r="DV19" s="21">
        <f t="shared" si="1064"/>
        <v>75000</v>
      </c>
      <c r="DW19" s="19">
        <v>0.0</v>
      </c>
      <c r="DX19" s="20">
        <f t="shared" ref="DX19:DZ19" si="1065">DW19</f>
        <v>0</v>
      </c>
      <c r="DY19" s="20">
        <f t="shared" si="1065"/>
        <v>0</v>
      </c>
      <c r="DZ19" s="21">
        <f t="shared" si="1065"/>
        <v>0</v>
      </c>
      <c r="EA19" s="19">
        <v>15000.0</v>
      </c>
      <c r="EB19" s="20">
        <v>15000.0</v>
      </c>
      <c r="EC19" s="20">
        <f t="shared" ref="EC19:ED19" si="1066">EB19</f>
        <v>15000</v>
      </c>
      <c r="ED19" s="21">
        <f t="shared" si="1066"/>
        <v>15000</v>
      </c>
      <c r="EE19" s="19">
        <v>0.0</v>
      </c>
      <c r="EF19" s="20">
        <f t="shared" ref="EF19:EH19" si="1067">EE19</f>
        <v>0</v>
      </c>
      <c r="EG19" s="20">
        <f t="shared" si="1067"/>
        <v>0</v>
      </c>
      <c r="EH19" s="21">
        <f t="shared" si="1067"/>
        <v>0</v>
      </c>
      <c r="EI19" s="19">
        <v>0.0</v>
      </c>
      <c r="EJ19" s="21">
        <f t="shared" ref="EJ19:EK19" si="1068">EI19</f>
        <v>0</v>
      </c>
      <c r="EK19" s="21">
        <f t="shared" si="1068"/>
        <v>0</v>
      </c>
      <c r="EL19" s="21">
        <f t="shared" si="797"/>
        <v>0</v>
      </c>
      <c r="EM19" s="19">
        <v>0.0</v>
      </c>
      <c r="EN19" s="20">
        <f t="shared" ref="EN19:EP19" si="1069">EM19</f>
        <v>0</v>
      </c>
      <c r="EO19" s="20">
        <f t="shared" si="1069"/>
        <v>0</v>
      </c>
      <c r="EP19" s="21">
        <f t="shared" si="1069"/>
        <v>0</v>
      </c>
      <c r="EQ19" s="19">
        <v>75000.0</v>
      </c>
      <c r="ER19" s="20">
        <f t="shared" ref="ER19:ET19" si="1070">EQ19</f>
        <v>75000</v>
      </c>
      <c r="ES19" s="20">
        <f t="shared" si="1070"/>
        <v>75000</v>
      </c>
      <c r="ET19" s="21">
        <f t="shared" si="1070"/>
        <v>75000</v>
      </c>
      <c r="EU19" s="19">
        <v>0.0</v>
      </c>
      <c r="EV19" s="20">
        <f t="shared" ref="EV19:EX19" si="1071">EU19</f>
        <v>0</v>
      </c>
      <c r="EW19" s="20">
        <f t="shared" si="1071"/>
        <v>0</v>
      </c>
      <c r="EX19" s="21">
        <f t="shared" si="1071"/>
        <v>0</v>
      </c>
      <c r="EY19" s="19">
        <v>0.0</v>
      </c>
      <c r="EZ19" s="20">
        <f t="shared" ref="EZ19:FB19" si="1072">EY19</f>
        <v>0</v>
      </c>
      <c r="FA19" s="20">
        <f t="shared" si="1072"/>
        <v>0</v>
      </c>
      <c r="FB19" s="21">
        <f t="shared" si="1072"/>
        <v>0</v>
      </c>
      <c r="FC19" s="19">
        <v>0.0</v>
      </c>
      <c r="FD19" s="20">
        <f t="shared" ref="FD19:FF19" si="1073">FC19</f>
        <v>0</v>
      </c>
      <c r="FE19" s="20">
        <f t="shared" si="1073"/>
        <v>0</v>
      </c>
      <c r="FF19" s="21">
        <f t="shared" si="1073"/>
        <v>0</v>
      </c>
      <c r="FG19" s="19">
        <v>0.0</v>
      </c>
      <c r="FH19" s="20">
        <f t="shared" ref="FH19:FJ19" si="1074">FG19</f>
        <v>0</v>
      </c>
      <c r="FI19" s="20">
        <f t="shared" si="1074"/>
        <v>0</v>
      </c>
      <c r="FJ19" s="21">
        <f t="shared" si="1074"/>
        <v>0</v>
      </c>
      <c r="FK19" s="19">
        <v>0.0</v>
      </c>
      <c r="FL19" s="20">
        <f t="shared" ref="FL19:FN19" si="1075">FK19</f>
        <v>0</v>
      </c>
      <c r="FM19" s="20">
        <f t="shared" si="1075"/>
        <v>0</v>
      </c>
      <c r="FN19" s="21">
        <f t="shared" si="1075"/>
        <v>0</v>
      </c>
      <c r="FO19" s="19">
        <v>0.0</v>
      </c>
      <c r="FP19" s="20">
        <f t="shared" ref="FP19:FR19" si="1076">FO19</f>
        <v>0</v>
      </c>
      <c r="FQ19" s="20">
        <f t="shared" si="1076"/>
        <v>0</v>
      </c>
      <c r="FR19" s="21">
        <f t="shared" si="1076"/>
        <v>0</v>
      </c>
      <c r="FS19" s="19">
        <v>0.0</v>
      </c>
      <c r="FT19" s="20">
        <f t="shared" ref="FT19:FV19" si="1077">FS19</f>
        <v>0</v>
      </c>
      <c r="FU19" s="20">
        <f t="shared" si="1077"/>
        <v>0</v>
      </c>
      <c r="FV19" s="21">
        <f t="shared" si="1077"/>
        <v>0</v>
      </c>
      <c r="FW19" s="19">
        <v>0.0</v>
      </c>
      <c r="FX19" s="20">
        <f t="shared" ref="FX19:FZ19" si="1078">FW19</f>
        <v>0</v>
      </c>
      <c r="FY19" s="20">
        <f t="shared" si="1078"/>
        <v>0</v>
      </c>
      <c r="FZ19" s="21">
        <f t="shared" si="1078"/>
        <v>0</v>
      </c>
      <c r="GA19" s="19">
        <v>0.0</v>
      </c>
      <c r="GB19" s="20">
        <f t="shared" ref="GB19:GD19" si="1079">GA19</f>
        <v>0</v>
      </c>
      <c r="GC19" s="20">
        <f t="shared" si="1079"/>
        <v>0</v>
      </c>
      <c r="GD19" s="21">
        <f t="shared" si="1079"/>
        <v>0</v>
      </c>
      <c r="GE19" s="19">
        <v>0.0</v>
      </c>
      <c r="GF19" s="20">
        <f t="shared" ref="GF19:GH19" si="1080">GE19</f>
        <v>0</v>
      </c>
      <c r="GG19" s="20">
        <f t="shared" si="1080"/>
        <v>0</v>
      </c>
      <c r="GH19" s="21">
        <f t="shared" si="1080"/>
        <v>0</v>
      </c>
      <c r="GI19" s="19">
        <v>0.0</v>
      </c>
      <c r="GJ19" s="20">
        <f t="shared" ref="GJ19:GL19" si="1081">GI19</f>
        <v>0</v>
      </c>
      <c r="GK19" s="20">
        <f t="shared" si="1081"/>
        <v>0</v>
      </c>
      <c r="GL19" s="20">
        <f t="shared" si="1081"/>
        <v>0</v>
      </c>
      <c r="GM19" s="22">
        <v>0.0</v>
      </c>
      <c r="GN19" s="20">
        <f t="shared" ref="GN19:GP19" si="1082">GM19</f>
        <v>0</v>
      </c>
      <c r="GO19" s="20">
        <f t="shared" si="1082"/>
        <v>0</v>
      </c>
      <c r="GP19" s="21">
        <f t="shared" si="1082"/>
        <v>0</v>
      </c>
      <c r="GQ19" s="19">
        <v>0.0</v>
      </c>
      <c r="GR19" s="20">
        <f t="shared" ref="GR19:GT19" si="1083">GQ19</f>
        <v>0</v>
      </c>
      <c r="GS19" s="20">
        <f t="shared" si="1083"/>
        <v>0</v>
      </c>
      <c r="GT19" s="21">
        <f t="shared" si="1083"/>
        <v>0</v>
      </c>
      <c r="GU19" s="19">
        <v>0.0</v>
      </c>
      <c r="GV19" s="20">
        <f t="shared" ref="GV19:GX19" si="1084">GU19</f>
        <v>0</v>
      </c>
      <c r="GW19" s="20">
        <f t="shared" si="1084"/>
        <v>0</v>
      </c>
      <c r="GX19" s="21">
        <f t="shared" si="1084"/>
        <v>0</v>
      </c>
      <c r="GY19" s="19">
        <v>0.0</v>
      </c>
      <c r="GZ19" s="20">
        <f t="shared" ref="GZ19:HB19" si="1085">GY19</f>
        <v>0</v>
      </c>
      <c r="HA19" s="20">
        <f t="shared" si="1085"/>
        <v>0</v>
      </c>
      <c r="HB19" s="21">
        <f t="shared" si="1085"/>
        <v>0</v>
      </c>
      <c r="HC19" s="19">
        <v>0.0</v>
      </c>
      <c r="HD19" s="20">
        <f t="shared" ref="HD19:HF19" si="1086">HC19</f>
        <v>0</v>
      </c>
      <c r="HE19" s="20">
        <f t="shared" si="1086"/>
        <v>0</v>
      </c>
      <c r="HF19" s="21">
        <f t="shared" si="1086"/>
        <v>0</v>
      </c>
      <c r="HG19" s="19">
        <v>0.0</v>
      </c>
      <c r="HH19" s="20">
        <f t="shared" ref="HH19:HJ19" si="1087">HG19</f>
        <v>0</v>
      </c>
      <c r="HI19" s="20">
        <f t="shared" si="1087"/>
        <v>0</v>
      </c>
      <c r="HJ19" s="21">
        <f t="shared" si="1087"/>
        <v>0</v>
      </c>
      <c r="HK19" s="19">
        <v>0.0</v>
      </c>
      <c r="HL19" s="20">
        <f t="shared" ref="HL19:HN19" si="1088">HK19</f>
        <v>0</v>
      </c>
      <c r="HM19" s="20">
        <f t="shared" si="1088"/>
        <v>0</v>
      </c>
      <c r="HN19" s="21">
        <f t="shared" si="1088"/>
        <v>0</v>
      </c>
      <c r="HO19" s="19">
        <v>0.0</v>
      </c>
      <c r="HP19" s="20">
        <f t="shared" ref="HP19:HR19" si="1089">HO19</f>
        <v>0</v>
      </c>
      <c r="HQ19" s="20">
        <f t="shared" si="1089"/>
        <v>0</v>
      </c>
      <c r="HR19" s="21">
        <f t="shared" si="1089"/>
        <v>0</v>
      </c>
      <c r="HS19" s="19">
        <v>0.0</v>
      </c>
      <c r="HT19" s="20">
        <f t="shared" ref="HT19:HV19" si="1090">HS19</f>
        <v>0</v>
      </c>
      <c r="HU19" s="20">
        <f t="shared" si="1090"/>
        <v>0</v>
      </c>
      <c r="HV19" s="21">
        <f t="shared" si="1090"/>
        <v>0</v>
      </c>
      <c r="HW19" s="19">
        <v>0.0</v>
      </c>
      <c r="HX19" s="20">
        <f t="shared" ref="HX19:HZ19" si="1091">HW19</f>
        <v>0</v>
      </c>
      <c r="HY19" s="20">
        <f t="shared" si="1091"/>
        <v>0</v>
      </c>
      <c r="HZ19" s="21">
        <f t="shared" si="1091"/>
        <v>0</v>
      </c>
      <c r="IA19" s="19">
        <v>0.0</v>
      </c>
      <c r="IB19" s="20">
        <f t="shared" ref="IB19:ID19" si="1092">IA19</f>
        <v>0</v>
      </c>
      <c r="IC19" s="20">
        <f t="shared" si="1092"/>
        <v>0</v>
      </c>
      <c r="ID19" s="21">
        <f t="shared" si="1092"/>
        <v>0</v>
      </c>
      <c r="IE19" s="19">
        <v>0.0</v>
      </c>
      <c r="IF19" s="20">
        <f t="shared" ref="IF19:IH19" si="1093">IE19</f>
        <v>0</v>
      </c>
      <c r="IG19" s="20">
        <f t="shared" si="1093"/>
        <v>0</v>
      </c>
      <c r="IH19" s="21">
        <f t="shared" si="1093"/>
        <v>0</v>
      </c>
      <c r="II19" s="19">
        <v>0.0</v>
      </c>
      <c r="IJ19" s="20">
        <f t="shared" ref="IJ19:IL19" si="1094">II19</f>
        <v>0</v>
      </c>
      <c r="IK19" s="20">
        <f t="shared" si="1094"/>
        <v>0</v>
      </c>
      <c r="IL19" s="20">
        <f t="shared" si="1094"/>
        <v>0</v>
      </c>
      <c r="IM19" s="35">
        <v>0.0</v>
      </c>
      <c r="IN19" s="20">
        <f t="shared" ref="IN19:IP19" si="1095">IM19</f>
        <v>0</v>
      </c>
      <c r="IO19" s="20">
        <f t="shared" si="1095"/>
        <v>0</v>
      </c>
      <c r="IP19" s="21">
        <f t="shared" si="1095"/>
        <v>0</v>
      </c>
      <c r="IQ19" s="19">
        <v>0.0</v>
      </c>
      <c r="IR19" s="20">
        <f t="shared" ref="IR19:IT19" si="1096">IQ19</f>
        <v>0</v>
      </c>
      <c r="IS19" s="20">
        <f t="shared" si="1096"/>
        <v>0</v>
      </c>
      <c r="IT19" s="21">
        <f t="shared" si="1096"/>
        <v>0</v>
      </c>
      <c r="IU19" s="19">
        <v>0.0</v>
      </c>
      <c r="IV19" s="20">
        <f t="shared" ref="IV19:IX19" si="1097">IU19</f>
        <v>0</v>
      </c>
      <c r="IW19" s="20">
        <f t="shared" si="1097"/>
        <v>0</v>
      </c>
      <c r="IX19" s="21">
        <f t="shared" si="1097"/>
        <v>0</v>
      </c>
      <c r="IY19" s="19">
        <v>0.0</v>
      </c>
      <c r="IZ19" s="20">
        <f t="shared" ref="IZ19:JB19" si="1098">IY19</f>
        <v>0</v>
      </c>
      <c r="JA19" s="20">
        <f t="shared" si="1098"/>
        <v>0</v>
      </c>
      <c r="JB19" s="21">
        <f t="shared" si="1098"/>
        <v>0</v>
      </c>
      <c r="JC19" s="19">
        <v>0.0</v>
      </c>
      <c r="JD19" s="20">
        <f t="shared" ref="JD19:JF19" si="1099">JC19</f>
        <v>0</v>
      </c>
      <c r="JE19" s="20">
        <f t="shared" si="1099"/>
        <v>0</v>
      </c>
      <c r="JF19" s="20">
        <f t="shared" si="1099"/>
        <v>0</v>
      </c>
      <c r="JG19" s="19">
        <v>0.0</v>
      </c>
      <c r="JH19" s="20">
        <f t="shared" ref="JH19:JJ19" si="1100">JG19</f>
        <v>0</v>
      </c>
      <c r="JI19" s="20">
        <f t="shared" si="1100"/>
        <v>0</v>
      </c>
      <c r="JJ19" s="21">
        <f t="shared" si="1100"/>
        <v>0</v>
      </c>
      <c r="JK19" s="19">
        <v>0.0</v>
      </c>
      <c r="JL19" s="20">
        <f t="shared" ref="JL19:JN19" si="1101">JK19</f>
        <v>0</v>
      </c>
      <c r="JM19" s="20">
        <f t="shared" si="1101"/>
        <v>0</v>
      </c>
      <c r="JN19" s="21">
        <f t="shared" si="1101"/>
        <v>0</v>
      </c>
      <c r="JO19" s="19">
        <v>0.0</v>
      </c>
      <c r="JP19" s="20">
        <f t="shared" ref="JP19:JR19" si="1102">JO19</f>
        <v>0</v>
      </c>
      <c r="JQ19" s="20">
        <f t="shared" si="1102"/>
        <v>0</v>
      </c>
      <c r="JR19" s="21">
        <f t="shared" si="1102"/>
        <v>0</v>
      </c>
      <c r="JS19" s="19">
        <v>0.0</v>
      </c>
      <c r="JT19" s="20">
        <f t="shared" ref="JT19:JV19" si="1103">JS19</f>
        <v>0</v>
      </c>
      <c r="JU19" s="20">
        <f t="shared" si="1103"/>
        <v>0</v>
      </c>
      <c r="JV19" s="21">
        <f t="shared" si="1103"/>
        <v>0</v>
      </c>
      <c r="JW19" s="19">
        <v>0.0</v>
      </c>
      <c r="JX19" s="20">
        <f t="shared" ref="JX19:JZ19" si="1104">JW19</f>
        <v>0</v>
      </c>
      <c r="JY19" s="20">
        <f t="shared" si="1104"/>
        <v>0</v>
      </c>
      <c r="JZ19" s="21">
        <f t="shared" si="1104"/>
        <v>0</v>
      </c>
    </row>
    <row r="20" ht="15.75" customHeight="1">
      <c r="A20" s="24" t="s">
        <v>98</v>
      </c>
      <c r="B20" s="18"/>
      <c r="C20" s="19">
        <v>0.0</v>
      </c>
      <c r="D20" s="20">
        <f t="shared" ref="D20:F20" si="1105">C20</f>
        <v>0</v>
      </c>
      <c r="E20" s="20">
        <f t="shared" si="1105"/>
        <v>0</v>
      </c>
      <c r="F20" s="21">
        <f t="shared" si="1105"/>
        <v>0</v>
      </c>
      <c r="G20" s="19">
        <v>0.0</v>
      </c>
      <c r="H20" s="20">
        <f t="shared" ref="H20:J20" si="1106">G20</f>
        <v>0</v>
      </c>
      <c r="I20" s="20">
        <f t="shared" si="1106"/>
        <v>0</v>
      </c>
      <c r="J20" s="21">
        <f t="shared" si="1106"/>
        <v>0</v>
      </c>
      <c r="K20" s="19">
        <v>0.0</v>
      </c>
      <c r="L20" s="20">
        <f t="shared" ref="L20:N20" si="1107">K20</f>
        <v>0</v>
      </c>
      <c r="M20" s="20">
        <f t="shared" si="1107"/>
        <v>0</v>
      </c>
      <c r="N20" s="21">
        <f t="shared" si="1107"/>
        <v>0</v>
      </c>
      <c r="O20" s="19">
        <v>0.0</v>
      </c>
      <c r="P20" s="20">
        <f t="shared" ref="P20:R20" si="1108">O20</f>
        <v>0</v>
      </c>
      <c r="Q20" s="20">
        <f t="shared" si="1108"/>
        <v>0</v>
      </c>
      <c r="R20" s="21">
        <f t="shared" si="1108"/>
        <v>0</v>
      </c>
      <c r="S20" s="19">
        <v>0.0</v>
      </c>
      <c r="T20" s="20">
        <f t="shared" ref="T20:V20" si="1109">S20</f>
        <v>0</v>
      </c>
      <c r="U20" s="20">
        <f t="shared" si="1109"/>
        <v>0</v>
      </c>
      <c r="V20" s="21">
        <f t="shared" si="1109"/>
        <v>0</v>
      </c>
      <c r="W20" s="36">
        <v>0.0</v>
      </c>
      <c r="X20" s="20">
        <f t="shared" ref="X20:Z20" si="1110">W20</f>
        <v>0</v>
      </c>
      <c r="Y20" s="20">
        <f t="shared" si="1110"/>
        <v>0</v>
      </c>
      <c r="Z20" s="21">
        <f t="shared" si="1110"/>
        <v>0</v>
      </c>
      <c r="AA20" s="19">
        <v>0.0</v>
      </c>
      <c r="AB20" s="20">
        <f t="shared" ref="AB20:AD20" si="1111">AA20</f>
        <v>0</v>
      </c>
      <c r="AC20" s="20">
        <f t="shared" si="1111"/>
        <v>0</v>
      </c>
      <c r="AD20" s="21">
        <f t="shared" si="1111"/>
        <v>0</v>
      </c>
      <c r="AE20" s="19">
        <v>0.0</v>
      </c>
      <c r="AF20" s="20">
        <f t="shared" ref="AF20:AH20" si="1112">AE20</f>
        <v>0</v>
      </c>
      <c r="AG20" s="20">
        <f t="shared" si="1112"/>
        <v>0</v>
      </c>
      <c r="AH20" s="21">
        <f t="shared" si="1112"/>
        <v>0</v>
      </c>
      <c r="AI20" s="19">
        <v>0.0</v>
      </c>
      <c r="AJ20" s="20">
        <f t="shared" ref="AJ20:AL20" si="1113">AI20</f>
        <v>0</v>
      </c>
      <c r="AK20" s="20">
        <f t="shared" si="1113"/>
        <v>0</v>
      </c>
      <c r="AL20" s="21">
        <f t="shared" si="1113"/>
        <v>0</v>
      </c>
      <c r="AM20" s="19">
        <v>0.0</v>
      </c>
      <c r="AN20" s="20">
        <f t="shared" ref="AN20:AP20" si="1114">AM20</f>
        <v>0</v>
      </c>
      <c r="AO20" s="20">
        <f t="shared" si="1114"/>
        <v>0</v>
      </c>
      <c r="AP20" s="21">
        <f t="shared" si="1114"/>
        <v>0</v>
      </c>
      <c r="AQ20" s="19">
        <v>0.0</v>
      </c>
      <c r="AR20" s="20">
        <f t="shared" ref="AR20:AT20" si="1115">AQ20</f>
        <v>0</v>
      </c>
      <c r="AS20" s="20">
        <f t="shared" si="1115"/>
        <v>0</v>
      </c>
      <c r="AT20" s="21">
        <f t="shared" si="1115"/>
        <v>0</v>
      </c>
      <c r="AU20" s="19">
        <v>0.0</v>
      </c>
      <c r="AV20" s="20">
        <f t="shared" ref="AV20:AX20" si="1116">AU20</f>
        <v>0</v>
      </c>
      <c r="AW20" s="20">
        <f t="shared" si="1116"/>
        <v>0</v>
      </c>
      <c r="AX20" s="21">
        <f t="shared" si="1116"/>
        <v>0</v>
      </c>
      <c r="AY20" s="19">
        <v>0.0</v>
      </c>
      <c r="AZ20" s="20">
        <f t="shared" ref="AZ20:BB20" si="1117">AY20</f>
        <v>0</v>
      </c>
      <c r="BA20" s="20">
        <f t="shared" si="1117"/>
        <v>0</v>
      </c>
      <c r="BB20" s="21">
        <f t="shared" si="1117"/>
        <v>0</v>
      </c>
      <c r="BC20" s="19">
        <v>0.0</v>
      </c>
      <c r="BD20" s="20">
        <f t="shared" ref="BD20:BF20" si="1118">BC20</f>
        <v>0</v>
      </c>
      <c r="BE20" s="20">
        <f t="shared" si="1118"/>
        <v>0</v>
      </c>
      <c r="BF20" s="21">
        <f t="shared" si="1118"/>
        <v>0</v>
      </c>
      <c r="BG20" s="19">
        <v>0.0</v>
      </c>
      <c r="BH20" s="20">
        <f t="shared" ref="BH20:BJ20" si="1119">BG20</f>
        <v>0</v>
      </c>
      <c r="BI20" s="20">
        <f t="shared" si="1119"/>
        <v>0</v>
      </c>
      <c r="BJ20" s="21">
        <f t="shared" si="1119"/>
        <v>0</v>
      </c>
      <c r="BK20" s="19">
        <v>0.0</v>
      </c>
      <c r="BL20" s="20">
        <f t="shared" ref="BL20:BN20" si="1120">BK20</f>
        <v>0</v>
      </c>
      <c r="BM20" s="20">
        <f t="shared" si="1120"/>
        <v>0</v>
      </c>
      <c r="BN20" s="21">
        <f t="shared" si="1120"/>
        <v>0</v>
      </c>
      <c r="BO20" s="19">
        <v>0.0</v>
      </c>
      <c r="BP20" s="20">
        <f t="shared" ref="BP20:BR20" si="1121">BO20</f>
        <v>0</v>
      </c>
      <c r="BQ20" s="20">
        <f t="shared" si="1121"/>
        <v>0</v>
      </c>
      <c r="BR20" s="21">
        <f t="shared" si="1121"/>
        <v>0</v>
      </c>
      <c r="BS20" s="19">
        <v>0.0</v>
      </c>
      <c r="BT20" s="20">
        <f t="shared" ref="BT20:BV20" si="1122">BS20</f>
        <v>0</v>
      </c>
      <c r="BU20" s="20">
        <f t="shared" si="1122"/>
        <v>0</v>
      </c>
      <c r="BV20" s="21">
        <f t="shared" si="1122"/>
        <v>0</v>
      </c>
      <c r="BW20" s="19">
        <v>0.0</v>
      </c>
      <c r="BX20" s="20">
        <f t="shared" ref="BX20:BZ20" si="1123">BW20</f>
        <v>0</v>
      </c>
      <c r="BY20" s="20">
        <f t="shared" si="1123"/>
        <v>0</v>
      </c>
      <c r="BZ20" s="21">
        <f t="shared" si="1123"/>
        <v>0</v>
      </c>
      <c r="CA20" s="19">
        <v>0.0</v>
      </c>
      <c r="CB20" s="20">
        <f t="shared" ref="CB20:CD20" si="1124">CA20</f>
        <v>0</v>
      </c>
      <c r="CC20" s="20">
        <f t="shared" si="1124"/>
        <v>0</v>
      </c>
      <c r="CD20" s="21">
        <f t="shared" si="1124"/>
        <v>0</v>
      </c>
      <c r="CE20" s="19">
        <v>210000.0</v>
      </c>
      <c r="CF20" s="20">
        <f t="shared" ref="CF20:CH20" si="1125">CE20</f>
        <v>210000</v>
      </c>
      <c r="CG20" s="20">
        <f t="shared" si="1125"/>
        <v>210000</v>
      </c>
      <c r="CH20" s="21">
        <f t="shared" si="1125"/>
        <v>210000</v>
      </c>
      <c r="CI20" s="19">
        <v>0.0</v>
      </c>
      <c r="CJ20" s="20">
        <f t="shared" ref="CJ20:CL20" si="1126">CI20</f>
        <v>0</v>
      </c>
      <c r="CK20" s="20">
        <f t="shared" si="1126"/>
        <v>0</v>
      </c>
      <c r="CL20" s="21">
        <f t="shared" si="1126"/>
        <v>0</v>
      </c>
      <c r="CM20" s="19">
        <v>0.0</v>
      </c>
      <c r="CN20" s="20">
        <f t="shared" ref="CN20:CP20" si="1127">CM20</f>
        <v>0</v>
      </c>
      <c r="CO20" s="20">
        <f t="shared" si="1127"/>
        <v>0</v>
      </c>
      <c r="CP20" s="21">
        <f t="shared" si="1127"/>
        <v>0</v>
      </c>
      <c r="CQ20" s="19">
        <v>185869.65</v>
      </c>
      <c r="CR20" s="20">
        <f>187438+5</f>
        <v>187443</v>
      </c>
      <c r="CS20" s="20">
        <f t="shared" ref="CS20:CT20" si="1128">CR20</f>
        <v>187443</v>
      </c>
      <c r="CT20" s="21">
        <f t="shared" si="1128"/>
        <v>187443</v>
      </c>
      <c r="CU20" s="19">
        <v>0.0</v>
      </c>
      <c r="CV20" s="20">
        <f t="shared" ref="CV20:CX20" si="1129">CU20</f>
        <v>0</v>
      </c>
      <c r="CW20" s="20">
        <f t="shared" si="1129"/>
        <v>0</v>
      </c>
      <c r="CX20" s="21">
        <f t="shared" si="1129"/>
        <v>0</v>
      </c>
      <c r="CY20" s="19">
        <v>530250.0</v>
      </c>
      <c r="CZ20" s="20">
        <f>402458-21</f>
        <v>402437</v>
      </c>
      <c r="DA20" s="20">
        <f t="shared" ref="DA20:DB20" si="1130">CZ20</f>
        <v>402437</v>
      </c>
      <c r="DB20" s="21">
        <f t="shared" si="1130"/>
        <v>402437</v>
      </c>
      <c r="DC20" s="19">
        <v>0.0</v>
      </c>
      <c r="DD20" s="20">
        <f t="shared" ref="DD20:DF20" si="1131">DC20</f>
        <v>0</v>
      </c>
      <c r="DE20" s="20">
        <f t="shared" si="1131"/>
        <v>0</v>
      </c>
      <c r="DF20" s="21">
        <f t="shared" si="1131"/>
        <v>0</v>
      </c>
      <c r="DG20" s="19">
        <v>0.0</v>
      </c>
      <c r="DH20" s="20">
        <f t="shared" ref="DH20:DJ20" si="1132">DG20</f>
        <v>0</v>
      </c>
      <c r="DI20" s="20">
        <f t="shared" si="1132"/>
        <v>0</v>
      </c>
      <c r="DJ20" s="21">
        <f t="shared" si="1132"/>
        <v>0</v>
      </c>
      <c r="DK20" s="19">
        <v>0.0</v>
      </c>
      <c r="DL20" s="20">
        <v>0.0</v>
      </c>
      <c r="DM20" s="20">
        <v>0.0</v>
      </c>
      <c r="DN20" s="21">
        <f t="shared" ref="DN20:DN21" si="1198">DM20</f>
        <v>0</v>
      </c>
      <c r="DO20" s="19">
        <v>0.0</v>
      </c>
      <c r="DP20" s="20">
        <f t="shared" ref="DP20:DR20" si="1133">DO20</f>
        <v>0</v>
      </c>
      <c r="DQ20" s="20">
        <f t="shared" si="1133"/>
        <v>0</v>
      </c>
      <c r="DR20" s="21">
        <f t="shared" si="1133"/>
        <v>0</v>
      </c>
      <c r="DS20" s="19">
        <v>0.0</v>
      </c>
      <c r="DT20" s="20">
        <f t="shared" ref="DT20:DV20" si="1134">DS20</f>
        <v>0</v>
      </c>
      <c r="DU20" s="20">
        <f t="shared" si="1134"/>
        <v>0</v>
      </c>
      <c r="DV20" s="21">
        <f t="shared" si="1134"/>
        <v>0</v>
      </c>
      <c r="DW20" s="19">
        <v>0.0</v>
      </c>
      <c r="DX20" s="20">
        <f t="shared" ref="DX20:DZ20" si="1135">DW20</f>
        <v>0</v>
      </c>
      <c r="DY20" s="20">
        <f t="shared" si="1135"/>
        <v>0</v>
      </c>
      <c r="DZ20" s="21">
        <f t="shared" si="1135"/>
        <v>0</v>
      </c>
      <c r="EA20" s="19">
        <v>0.0</v>
      </c>
      <c r="EB20" s="20">
        <f t="shared" ref="EB20:ED20" si="1136">EA20</f>
        <v>0</v>
      </c>
      <c r="EC20" s="20">
        <f t="shared" si="1136"/>
        <v>0</v>
      </c>
      <c r="ED20" s="21">
        <f t="shared" si="1136"/>
        <v>0</v>
      </c>
      <c r="EE20" s="19">
        <v>0.0</v>
      </c>
      <c r="EF20" s="20">
        <f t="shared" ref="EF20:EH20" si="1137">EE20</f>
        <v>0</v>
      </c>
      <c r="EG20" s="20">
        <f t="shared" si="1137"/>
        <v>0</v>
      </c>
      <c r="EH20" s="21">
        <f t="shared" si="1137"/>
        <v>0</v>
      </c>
      <c r="EI20" s="19">
        <v>0.0</v>
      </c>
      <c r="EJ20" s="21">
        <f t="shared" ref="EJ20:EK20" si="1138">EI20</f>
        <v>0</v>
      </c>
      <c r="EK20" s="21">
        <f t="shared" si="1138"/>
        <v>0</v>
      </c>
      <c r="EL20" s="21">
        <f t="shared" si="797"/>
        <v>0</v>
      </c>
      <c r="EM20" s="19">
        <v>0.0</v>
      </c>
      <c r="EN20" s="20">
        <f t="shared" ref="EN20:EP20" si="1139">EM20</f>
        <v>0</v>
      </c>
      <c r="EO20" s="20">
        <f t="shared" si="1139"/>
        <v>0</v>
      </c>
      <c r="EP20" s="21">
        <f t="shared" si="1139"/>
        <v>0</v>
      </c>
      <c r="EQ20" s="19">
        <v>0.0</v>
      </c>
      <c r="ER20" s="20">
        <v>0.0</v>
      </c>
      <c r="ES20" s="20">
        <f t="shared" ref="ES20:ET20" si="1140">ER20</f>
        <v>0</v>
      </c>
      <c r="ET20" s="21">
        <f t="shared" si="1140"/>
        <v>0</v>
      </c>
      <c r="EU20" s="19">
        <v>0.0</v>
      </c>
      <c r="EV20" s="20">
        <f t="shared" ref="EV20:EX20" si="1141">EU20</f>
        <v>0</v>
      </c>
      <c r="EW20" s="20">
        <f t="shared" si="1141"/>
        <v>0</v>
      </c>
      <c r="EX20" s="21">
        <f t="shared" si="1141"/>
        <v>0</v>
      </c>
      <c r="EY20" s="19">
        <v>0.0</v>
      </c>
      <c r="EZ20" s="20">
        <f t="shared" ref="EZ20:FB20" si="1142">EY20</f>
        <v>0</v>
      </c>
      <c r="FA20" s="20">
        <f t="shared" si="1142"/>
        <v>0</v>
      </c>
      <c r="FB20" s="21">
        <f t="shared" si="1142"/>
        <v>0</v>
      </c>
      <c r="FC20" s="19">
        <v>0.0</v>
      </c>
      <c r="FD20" s="20">
        <f t="shared" ref="FD20:FF20" si="1143">FC20</f>
        <v>0</v>
      </c>
      <c r="FE20" s="20">
        <f t="shared" si="1143"/>
        <v>0</v>
      </c>
      <c r="FF20" s="21">
        <f t="shared" si="1143"/>
        <v>0</v>
      </c>
      <c r="FG20" s="19">
        <v>0.0</v>
      </c>
      <c r="FH20" s="20">
        <f t="shared" ref="FH20:FJ20" si="1144">FG20</f>
        <v>0</v>
      </c>
      <c r="FI20" s="20">
        <f t="shared" si="1144"/>
        <v>0</v>
      </c>
      <c r="FJ20" s="21">
        <f t="shared" si="1144"/>
        <v>0</v>
      </c>
      <c r="FK20" s="19">
        <v>0.0</v>
      </c>
      <c r="FL20" s="20">
        <f t="shared" ref="FL20:FN20" si="1145">FK20</f>
        <v>0</v>
      </c>
      <c r="FM20" s="20">
        <f t="shared" si="1145"/>
        <v>0</v>
      </c>
      <c r="FN20" s="21">
        <f t="shared" si="1145"/>
        <v>0</v>
      </c>
      <c r="FO20" s="19">
        <v>0.0</v>
      </c>
      <c r="FP20" s="20">
        <f t="shared" ref="FP20:FR20" si="1146">FO20</f>
        <v>0</v>
      </c>
      <c r="FQ20" s="20">
        <f t="shared" si="1146"/>
        <v>0</v>
      </c>
      <c r="FR20" s="21">
        <f t="shared" si="1146"/>
        <v>0</v>
      </c>
      <c r="FS20" s="19">
        <v>0.0</v>
      </c>
      <c r="FT20" s="20">
        <f t="shared" ref="FT20:FV20" si="1147">FS20</f>
        <v>0</v>
      </c>
      <c r="FU20" s="20">
        <f t="shared" si="1147"/>
        <v>0</v>
      </c>
      <c r="FV20" s="21">
        <f t="shared" si="1147"/>
        <v>0</v>
      </c>
      <c r="FW20" s="19">
        <v>0.0</v>
      </c>
      <c r="FX20" s="20">
        <f t="shared" ref="FX20:FZ20" si="1148">FW20</f>
        <v>0</v>
      </c>
      <c r="FY20" s="20">
        <f t="shared" si="1148"/>
        <v>0</v>
      </c>
      <c r="FZ20" s="21">
        <f t="shared" si="1148"/>
        <v>0</v>
      </c>
      <c r="GA20" s="19">
        <v>0.0</v>
      </c>
      <c r="GB20" s="20">
        <f t="shared" ref="GB20:GD20" si="1149">GA20</f>
        <v>0</v>
      </c>
      <c r="GC20" s="20">
        <f t="shared" si="1149"/>
        <v>0</v>
      </c>
      <c r="GD20" s="21">
        <f t="shared" si="1149"/>
        <v>0</v>
      </c>
      <c r="GE20" s="19">
        <v>0.0</v>
      </c>
      <c r="GF20" s="20">
        <f t="shared" ref="GF20:GH20" si="1150">GE20</f>
        <v>0</v>
      </c>
      <c r="GG20" s="20">
        <f t="shared" si="1150"/>
        <v>0</v>
      </c>
      <c r="GH20" s="21">
        <f t="shared" si="1150"/>
        <v>0</v>
      </c>
      <c r="GI20" s="19">
        <v>0.0</v>
      </c>
      <c r="GJ20" s="20">
        <f t="shared" ref="GJ20:GL20" si="1151">GI20</f>
        <v>0</v>
      </c>
      <c r="GK20" s="20">
        <f t="shared" si="1151"/>
        <v>0</v>
      </c>
      <c r="GL20" s="20">
        <f t="shared" si="1151"/>
        <v>0</v>
      </c>
      <c r="GM20" s="22">
        <v>0.0</v>
      </c>
      <c r="GN20" s="20">
        <f t="shared" ref="GN20:GP20" si="1152">GM20</f>
        <v>0</v>
      </c>
      <c r="GO20" s="20">
        <f t="shared" si="1152"/>
        <v>0</v>
      </c>
      <c r="GP20" s="21">
        <f t="shared" si="1152"/>
        <v>0</v>
      </c>
      <c r="GQ20" s="19">
        <v>0.0</v>
      </c>
      <c r="GR20" s="20">
        <f t="shared" ref="GR20:GT20" si="1153">GQ20</f>
        <v>0</v>
      </c>
      <c r="GS20" s="20">
        <f t="shared" si="1153"/>
        <v>0</v>
      </c>
      <c r="GT20" s="21">
        <f t="shared" si="1153"/>
        <v>0</v>
      </c>
      <c r="GU20" s="19">
        <v>0.0</v>
      </c>
      <c r="GV20" s="20">
        <f t="shared" ref="GV20:GX20" si="1154">GU20</f>
        <v>0</v>
      </c>
      <c r="GW20" s="20">
        <f t="shared" si="1154"/>
        <v>0</v>
      </c>
      <c r="GX20" s="21">
        <f t="shared" si="1154"/>
        <v>0</v>
      </c>
      <c r="GY20" s="19">
        <v>0.0</v>
      </c>
      <c r="GZ20" s="20">
        <f t="shared" ref="GZ20:HB20" si="1155">GY20</f>
        <v>0</v>
      </c>
      <c r="HA20" s="20">
        <f t="shared" si="1155"/>
        <v>0</v>
      </c>
      <c r="HB20" s="21">
        <f t="shared" si="1155"/>
        <v>0</v>
      </c>
      <c r="HC20" s="19">
        <v>0.0</v>
      </c>
      <c r="HD20" s="20">
        <f t="shared" ref="HD20:HF20" si="1156">HC20</f>
        <v>0</v>
      </c>
      <c r="HE20" s="20">
        <f t="shared" si="1156"/>
        <v>0</v>
      </c>
      <c r="HF20" s="21">
        <f t="shared" si="1156"/>
        <v>0</v>
      </c>
      <c r="HG20" s="19">
        <v>0.0</v>
      </c>
      <c r="HH20" s="20">
        <f t="shared" ref="HH20:HJ20" si="1157">HG20</f>
        <v>0</v>
      </c>
      <c r="HI20" s="20">
        <f t="shared" si="1157"/>
        <v>0</v>
      </c>
      <c r="HJ20" s="21">
        <f t="shared" si="1157"/>
        <v>0</v>
      </c>
      <c r="HK20" s="19">
        <v>0.0</v>
      </c>
      <c r="HL20" s="20">
        <f t="shared" ref="HL20:HN20" si="1158">HK20</f>
        <v>0</v>
      </c>
      <c r="HM20" s="20">
        <f t="shared" si="1158"/>
        <v>0</v>
      </c>
      <c r="HN20" s="21">
        <f t="shared" si="1158"/>
        <v>0</v>
      </c>
      <c r="HO20" s="19">
        <v>0.0</v>
      </c>
      <c r="HP20" s="20">
        <f t="shared" ref="HP20:HR20" si="1159">HO20</f>
        <v>0</v>
      </c>
      <c r="HQ20" s="20">
        <f t="shared" si="1159"/>
        <v>0</v>
      </c>
      <c r="HR20" s="21">
        <f t="shared" si="1159"/>
        <v>0</v>
      </c>
      <c r="HS20" s="19">
        <v>0.0</v>
      </c>
      <c r="HT20" s="20">
        <f t="shared" ref="HT20:HV20" si="1160">HS20</f>
        <v>0</v>
      </c>
      <c r="HU20" s="20">
        <f t="shared" si="1160"/>
        <v>0</v>
      </c>
      <c r="HV20" s="21">
        <f t="shared" si="1160"/>
        <v>0</v>
      </c>
      <c r="HW20" s="19">
        <v>0.0</v>
      </c>
      <c r="HX20" s="20">
        <f t="shared" ref="HX20:HZ20" si="1161">HW20</f>
        <v>0</v>
      </c>
      <c r="HY20" s="20">
        <f t="shared" si="1161"/>
        <v>0</v>
      </c>
      <c r="HZ20" s="21">
        <f t="shared" si="1161"/>
        <v>0</v>
      </c>
      <c r="IA20" s="19">
        <v>0.0</v>
      </c>
      <c r="IB20" s="20">
        <f t="shared" ref="IB20:ID20" si="1162">IA20</f>
        <v>0</v>
      </c>
      <c r="IC20" s="20">
        <f t="shared" si="1162"/>
        <v>0</v>
      </c>
      <c r="ID20" s="21">
        <f t="shared" si="1162"/>
        <v>0</v>
      </c>
      <c r="IE20" s="19">
        <v>0.0</v>
      </c>
      <c r="IF20" s="20">
        <f t="shared" ref="IF20:IH20" si="1163">IE20</f>
        <v>0</v>
      </c>
      <c r="IG20" s="20">
        <f t="shared" si="1163"/>
        <v>0</v>
      </c>
      <c r="IH20" s="21">
        <f t="shared" si="1163"/>
        <v>0</v>
      </c>
      <c r="II20" s="19">
        <v>0.0</v>
      </c>
      <c r="IJ20" s="20">
        <f t="shared" ref="IJ20:IL20" si="1164">II20</f>
        <v>0</v>
      </c>
      <c r="IK20" s="20">
        <f t="shared" si="1164"/>
        <v>0</v>
      </c>
      <c r="IL20" s="20">
        <f t="shared" si="1164"/>
        <v>0</v>
      </c>
      <c r="IM20" s="35">
        <v>0.0</v>
      </c>
      <c r="IN20" s="20">
        <f t="shared" ref="IN20:IP20" si="1165">IM20</f>
        <v>0</v>
      </c>
      <c r="IO20" s="20">
        <f t="shared" si="1165"/>
        <v>0</v>
      </c>
      <c r="IP20" s="21">
        <f t="shared" si="1165"/>
        <v>0</v>
      </c>
      <c r="IQ20" s="19">
        <v>0.0</v>
      </c>
      <c r="IR20" s="20">
        <f t="shared" ref="IR20:IT20" si="1166">IQ20</f>
        <v>0</v>
      </c>
      <c r="IS20" s="20">
        <f t="shared" si="1166"/>
        <v>0</v>
      </c>
      <c r="IT20" s="21">
        <f t="shared" si="1166"/>
        <v>0</v>
      </c>
      <c r="IU20" s="19">
        <v>0.0</v>
      </c>
      <c r="IV20" s="20">
        <f t="shared" ref="IV20:IX20" si="1167">IU20</f>
        <v>0</v>
      </c>
      <c r="IW20" s="20">
        <f t="shared" si="1167"/>
        <v>0</v>
      </c>
      <c r="IX20" s="21">
        <f t="shared" si="1167"/>
        <v>0</v>
      </c>
      <c r="IY20" s="19">
        <v>0.0</v>
      </c>
      <c r="IZ20" s="20">
        <f t="shared" ref="IZ20:JB20" si="1168">IY20</f>
        <v>0</v>
      </c>
      <c r="JA20" s="20">
        <f t="shared" si="1168"/>
        <v>0</v>
      </c>
      <c r="JB20" s="21">
        <f t="shared" si="1168"/>
        <v>0</v>
      </c>
      <c r="JC20" s="19">
        <v>0.0</v>
      </c>
      <c r="JD20" s="20">
        <f t="shared" ref="JD20:JF20" si="1169">JC20</f>
        <v>0</v>
      </c>
      <c r="JE20" s="20">
        <f t="shared" si="1169"/>
        <v>0</v>
      </c>
      <c r="JF20" s="20">
        <f t="shared" si="1169"/>
        <v>0</v>
      </c>
      <c r="JG20" s="19">
        <v>0.0</v>
      </c>
      <c r="JH20" s="20">
        <f t="shared" ref="JH20:JJ20" si="1170">JG20</f>
        <v>0</v>
      </c>
      <c r="JI20" s="20">
        <f t="shared" si="1170"/>
        <v>0</v>
      </c>
      <c r="JJ20" s="21">
        <f t="shared" si="1170"/>
        <v>0</v>
      </c>
      <c r="JK20" s="19">
        <v>0.0</v>
      </c>
      <c r="JL20" s="20">
        <f t="shared" ref="JL20:JN20" si="1171">JK20</f>
        <v>0</v>
      </c>
      <c r="JM20" s="20">
        <f t="shared" si="1171"/>
        <v>0</v>
      </c>
      <c r="JN20" s="21">
        <f t="shared" si="1171"/>
        <v>0</v>
      </c>
      <c r="JO20" s="19">
        <v>0.0</v>
      </c>
      <c r="JP20" s="20">
        <f t="shared" ref="JP20:JR20" si="1172">JO20</f>
        <v>0</v>
      </c>
      <c r="JQ20" s="20">
        <f t="shared" si="1172"/>
        <v>0</v>
      </c>
      <c r="JR20" s="21">
        <f t="shared" si="1172"/>
        <v>0</v>
      </c>
      <c r="JS20" s="19">
        <v>0.0</v>
      </c>
      <c r="JT20" s="20">
        <f t="shared" ref="JT20:JV20" si="1173">JS20</f>
        <v>0</v>
      </c>
      <c r="JU20" s="20">
        <f t="shared" si="1173"/>
        <v>0</v>
      </c>
      <c r="JV20" s="21">
        <f t="shared" si="1173"/>
        <v>0</v>
      </c>
      <c r="JW20" s="19">
        <v>0.0</v>
      </c>
      <c r="JX20" s="20">
        <f t="shared" ref="JX20:JZ20" si="1174">JW20</f>
        <v>0</v>
      </c>
      <c r="JY20" s="20">
        <f t="shared" si="1174"/>
        <v>0</v>
      </c>
      <c r="JZ20" s="21">
        <f t="shared" si="1174"/>
        <v>0</v>
      </c>
    </row>
    <row r="21" ht="15.75" customHeight="1">
      <c r="A21" s="24" t="s">
        <v>99</v>
      </c>
      <c r="B21" s="18"/>
      <c r="C21" s="19">
        <v>5000.0</v>
      </c>
      <c r="D21" s="20">
        <f t="shared" ref="D21:F21" si="1175">C21</f>
        <v>5000</v>
      </c>
      <c r="E21" s="20">
        <f t="shared" si="1175"/>
        <v>5000</v>
      </c>
      <c r="F21" s="21">
        <f t="shared" si="1175"/>
        <v>5000</v>
      </c>
      <c r="G21" s="19">
        <v>0.0</v>
      </c>
      <c r="H21" s="20">
        <f t="shared" ref="H21:J21" si="1176">G21</f>
        <v>0</v>
      </c>
      <c r="I21" s="20">
        <f t="shared" si="1176"/>
        <v>0</v>
      </c>
      <c r="J21" s="21">
        <f t="shared" si="1176"/>
        <v>0</v>
      </c>
      <c r="K21" s="19">
        <v>0.0</v>
      </c>
      <c r="L21" s="20">
        <f t="shared" ref="L21:N21" si="1177">K21</f>
        <v>0</v>
      </c>
      <c r="M21" s="20">
        <f t="shared" si="1177"/>
        <v>0</v>
      </c>
      <c r="N21" s="21">
        <f t="shared" si="1177"/>
        <v>0</v>
      </c>
      <c r="O21" s="19">
        <v>1000.0</v>
      </c>
      <c r="P21" s="20">
        <f t="shared" ref="P21:R21" si="1178">O21</f>
        <v>1000</v>
      </c>
      <c r="Q21" s="20">
        <f t="shared" si="1178"/>
        <v>1000</v>
      </c>
      <c r="R21" s="21">
        <f t="shared" si="1178"/>
        <v>1000</v>
      </c>
      <c r="S21" s="19">
        <v>0.0</v>
      </c>
      <c r="T21" s="20">
        <f t="shared" ref="T21:V21" si="1179">S21</f>
        <v>0</v>
      </c>
      <c r="U21" s="20">
        <f t="shared" si="1179"/>
        <v>0</v>
      </c>
      <c r="V21" s="21">
        <f t="shared" si="1179"/>
        <v>0</v>
      </c>
      <c r="W21" s="39">
        <v>-158300.0</v>
      </c>
      <c r="X21" s="26">
        <v>-161913.0</v>
      </c>
      <c r="Y21" s="26">
        <f t="shared" ref="Y21:Z21" si="1180">X21</f>
        <v>-161913</v>
      </c>
      <c r="Z21" s="27">
        <f t="shared" si="1180"/>
        <v>-161913</v>
      </c>
      <c r="AA21" s="19">
        <v>0.0</v>
      </c>
      <c r="AB21" s="20">
        <f t="shared" ref="AB21:AD21" si="1181">AA21</f>
        <v>0</v>
      </c>
      <c r="AC21" s="20">
        <f t="shared" si="1181"/>
        <v>0</v>
      </c>
      <c r="AD21" s="21">
        <f t="shared" si="1181"/>
        <v>0</v>
      </c>
      <c r="AE21" s="19">
        <v>65000.0</v>
      </c>
      <c r="AF21" s="20">
        <f t="shared" ref="AF21:AH21" si="1182">AE21</f>
        <v>65000</v>
      </c>
      <c r="AG21" s="20">
        <f t="shared" si="1182"/>
        <v>65000</v>
      </c>
      <c r="AH21" s="21">
        <f t="shared" si="1182"/>
        <v>65000</v>
      </c>
      <c r="AI21" s="19">
        <v>2000.0</v>
      </c>
      <c r="AJ21" s="20">
        <v>0.0</v>
      </c>
      <c r="AK21" s="20">
        <f t="shared" ref="AK21:AL21" si="1183">AJ21</f>
        <v>0</v>
      </c>
      <c r="AL21" s="21">
        <f t="shared" si="1183"/>
        <v>0</v>
      </c>
      <c r="AM21" s="19">
        <v>0.0</v>
      </c>
      <c r="AN21" s="20">
        <v>-167871.0</v>
      </c>
      <c r="AO21" s="20">
        <f t="shared" ref="AO21:AP21" si="1184">AN21</f>
        <v>-167871</v>
      </c>
      <c r="AP21" s="21">
        <f t="shared" si="1184"/>
        <v>-167871</v>
      </c>
      <c r="AQ21" s="19">
        <v>0.0</v>
      </c>
      <c r="AR21" s="20">
        <f t="shared" ref="AR21:AT21" si="1185">AQ21</f>
        <v>0</v>
      </c>
      <c r="AS21" s="20">
        <f t="shared" si="1185"/>
        <v>0</v>
      </c>
      <c r="AT21" s="21">
        <f t="shared" si="1185"/>
        <v>0</v>
      </c>
      <c r="AU21" s="25">
        <v>-185436.95</v>
      </c>
      <c r="AV21" s="26">
        <v>-276638.0</v>
      </c>
      <c r="AW21" s="26">
        <f t="shared" ref="AW21:AX21" si="1186">AV21</f>
        <v>-276638</v>
      </c>
      <c r="AX21" s="27">
        <f t="shared" si="1186"/>
        <v>-276638</v>
      </c>
      <c r="AY21" s="19">
        <v>0.0</v>
      </c>
      <c r="AZ21" s="20">
        <f t="shared" ref="AZ21:BB21" si="1187">AY21</f>
        <v>0</v>
      </c>
      <c r="BA21" s="20">
        <f t="shared" si="1187"/>
        <v>0</v>
      </c>
      <c r="BB21" s="21">
        <f t="shared" si="1187"/>
        <v>0</v>
      </c>
      <c r="BC21" s="19">
        <v>1036.8</v>
      </c>
      <c r="BD21" s="20">
        <v>2000.0</v>
      </c>
      <c r="BE21" s="20">
        <v>-27600.0</v>
      </c>
      <c r="BF21" s="21">
        <f t="shared" ref="BF21:BF22" si="1249">BE21</f>
        <v>-27600</v>
      </c>
      <c r="BG21" s="19">
        <v>0.0</v>
      </c>
      <c r="BH21" s="20">
        <f t="shared" ref="BH21:BJ21" si="1188">BG21</f>
        <v>0</v>
      </c>
      <c r="BI21" s="20">
        <f t="shared" si="1188"/>
        <v>0</v>
      </c>
      <c r="BJ21" s="21">
        <f t="shared" si="1188"/>
        <v>0</v>
      </c>
      <c r="BK21" s="25">
        <f>-456260.6</f>
        <v>-456260.6</v>
      </c>
      <c r="BL21" s="26">
        <f t="shared" ref="BL21:BN21" si="1189">BK21</f>
        <v>-456260.6</v>
      </c>
      <c r="BM21" s="26">
        <f t="shared" si="1189"/>
        <v>-456260.6</v>
      </c>
      <c r="BN21" s="27">
        <f t="shared" si="1189"/>
        <v>-456260.6</v>
      </c>
      <c r="BO21" s="19">
        <v>1000.0</v>
      </c>
      <c r="BP21" s="20">
        <f t="shared" ref="BP21:BR21" si="1190">BO21</f>
        <v>1000</v>
      </c>
      <c r="BQ21" s="20">
        <f t="shared" si="1190"/>
        <v>1000</v>
      </c>
      <c r="BR21" s="21">
        <f t="shared" si="1190"/>
        <v>1000</v>
      </c>
      <c r="BS21" s="19">
        <v>5835.7</v>
      </c>
      <c r="BT21" s="20">
        <f t="shared" ref="BT21:BT27" si="1253">BS21</f>
        <v>5835.7</v>
      </c>
      <c r="BU21" s="20">
        <v>-20000.0</v>
      </c>
      <c r="BV21" s="21">
        <f>BU21</f>
        <v>-20000</v>
      </c>
      <c r="BW21" s="19">
        <v>0.0</v>
      </c>
      <c r="BX21" s="20">
        <v>-23456.0</v>
      </c>
      <c r="BY21" s="20">
        <f t="shared" ref="BY21:BZ21" si="1191">BX21</f>
        <v>-23456</v>
      </c>
      <c r="BZ21" s="21">
        <f t="shared" si="1191"/>
        <v>-23456</v>
      </c>
      <c r="CA21" s="19">
        <v>0.0</v>
      </c>
      <c r="CB21" s="20">
        <f t="shared" ref="CB21:CD21" si="1192">CA21</f>
        <v>0</v>
      </c>
      <c r="CC21" s="20">
        <f t="shared" si="1192"/>
        <v>0</v>
      </c>
      <c r="CD21" s="21">
        <f t="shared" si="1192"/>
        <v>0</v>
      </c>
      <c r="CE21" s="25">
        <v>-20000.0</v>
      </c>
      <c r="CF21" s="26">
        <f t="shared" ref="CF21:CH21" si="1193">CE21</f>
        <v>-20000</v>
      </c>
      <c r="CG21" s="26">
        <f t="shared" si="1193"/>
        <v>-20000</v>
      </c>
      <c r="CH21" s="27">
        <f t="shared" si="1193"/>
        <v>-20000</v>
      </c>
      <c r="CI21" s="19">
        <v>0.0</v>
      </c>
      <c r="CJ21" s="20">
        <f t="shared" ref="CJ21:CL21" si="1194">CI21</f>
        <v>0</v>
      </c>
      <c r="CK21" s="20">
        <f t="shared" si="1194"/>
        <v>0</v>
      </c>
      <c r="CL21" s="21">
        <f t="shared" si="1194"/>
        <v>0</v>
      </c>
      <c r="CM21" s="19">
        <v>0.0</v>
      </c>
      <c r="CN21" s="20">
        <f t="shared" ref="CN21:CP21" si="1195">CM21</f>
        <v>0</v>
      </c>
      <c r="CO21" s="20">
        <f t="shared" si="1195"/>
        <v>0</v>
      </c>
      <c r="CP21" s="21">
        <f t="shared" si="1195"/>
        <v>0</v>
      </c>
      <c r="CQ21" s="19">
        <v>0.0</v>
      </c>
      <c r="CR21" s="20">
        <f t="shared" ref="CR21:CT21" si="1196">CQ21</f>
        <v>0</v>
      </c>
      <c r="CS21" s="20">
        <f t="shared" si="1196"/>
        <v>0</v>
      </c>
      <c r="CT21" s="21">
        <f t="shared" si="1196"/>
        <v>0</v>
      </c>
      <c r="CU21" s="19">
        <v>0.0</v>
      </c>
      <c r="CV21" s="20">
        <f t="shared" ref="CV21:CV29" si="1261">CU21</f>
        <v>0</v>
      </c>
      <c r="CW21" s="20">
        <v>-25000.0</v>
      </c>
      <c r="CX21" s="21">
        <f>CW21</f>
        <v>-25000</v>
      </c>
      <c r="CY21" s="19">
        <v>1000.0</v>
      </c>
      <c r="CZ21" s="20">
        <v>0.0</v>
      </c>
      <c r="DA21" s="20">
        <f t="shared" ref="DA21:DB21" si="1197">CZ21</f>
        <v>0</v>
      </c>
      <c r="DB21" s="21">
        <f t="shared" si="1197"/>
        <v>0</v>
      </c>
      <c r="DC21" s="19">
        <v>0.0</v>
      </c>
      <c r="DD21" s="20">
        <f t="shared" ref="DD21:DD22" si="1264">DC21</f>
        <v>0</v>
      </c>
      <c r="DE21" s="20">
        <v>-10000.0</v>
      </c>
      <c r="DF21" s="21">
        <f>DE21</f>
        <v>-10000</v>
      </c>
      <c r="DG21" s="25">
        <v>-198498.3</v>
      </c>
      <c r="DH21" s="26">
        <v>-293854.0</v>
      </c>
      <c r="DI21" s="26">
        <f>DH21</f>
        <v>-293854</v>
      </c>
      <c r="DJ21" s="27">
        <v>-176573.0</v>
      </c>
      <c r="DK21" s="25">
        <v>-54215.5</v>
      </c>
      <c r="DL21" s="26">
        <v>-107915.0</v>
      </c>
      <c r="DM21" s="26">
        <f>DL21+40</f>
        <v>-107875</v>
      </c>
      <c r="DN21" s="27">
        <f t="shared" si="1198"/>
        <v>-107875</v>
      </c>
      <c r="DO21" s="19">
        <v>215767.35</v>
      </c>
      <c r="DP21" s="20">
        <v>224775.0</v>
      </c>
      <c r="DQ21" s="20">
        <f t="shared" ref="DQ21:DR21" si="1199">DP21</f>
        <v>224775</v>
      </c>
      <c r="DR21" s="21">
        <f t="shared" si="1199"/>
        <v>224775</v>
      </c>
      <c r="DS21" s="25">
        <v>-53106.15</v>
      </c>
      <c r="DT21" s="26">
        <v>-72524.0</v>
      </c>
      <c r="DU21" s="26">
        <f t="shared" ref="DU21:DV21" si="1200">DT21</f>
        <v>-72524</v>
      </c>
      <c r="DV21" s="27">
        <f t="shared" si="1200"/>
        <v>-72524</v>
      </c>
      <c r="DW21" s="19">
        <v>0.0</v>
      </c>
      <c r="DX21" s="20">
        <f t="shared" ref="DX21:DZ21" si="1201">DW21</f>
        <v>0</v>
      </c>
      <c r="DY21" s="20">
        <f t="shared" si="1201"/>
        <v>0</v>
      </c>
      <c r="DZ21" s="21">
        <f t="shared" si="1201"/>
        <v>0</v>
      </c>
      <c r="EA21" s="19">
        <v>0.0</v>
      </c>
      <c r="EB21" s="20">
        <f t="shared" ref="EB21:EB27" si="1271">EA21</f>
        <v>0</v>
      </c>
      <c r="EC21" s="20">
        <v>-10000.0</v>
      </c>
      <c r="ED21" s="21">
        <v>0.0</v>
      </c>
      <c r="EE21" s="19">
        <v>0.0</v>
      </c>
      <c r="EF21" s="20">
        <f t="shared" ref="EF21:EH21" si="1202">EE21</f>
        <v>0</v>
      </c>
      <c r="EG21" s="20">
        <f t="shared" si="1202"/>
        <v>0</v>
      </c>
      <c r="EH21" s="21">
        <f t="shared" si="1202"/>
        <v>0</v>
      </c>
      <c r="EI21" s="19">
        <v>28512.0</v>
      </c>
      <c r="EJ21" s="21">
        <f t="shared" ref="EJ21:EK21" si="1203">EI21</f>
        <v>28512</v>
      </c>
      <c r="EK21" s="21">
        <f t="shared" si="1203"/>
        <v>28512</v>
      </c>
      <c r="EL21" s="21">
        <f t="shared" si="797"/>
        <v>28512</v>
      </c>
      <c r="EM21" s="25">
        <v>-30000.0</v>
      </c>
      <c r="EN21" s="26">
        <f t="shared" ref="EN21:EO21" si="1204">EM21</f>
        <v>-30000</v>
      </c>
      <c r="EO21" s="26">
        <f t="shared" si="1204"/>
        <v>-30000</v>
      </c>
      <c r="EP21" s="27">
        <v>-20000.0</v>
      </c>
      <c r="EQ21" s="25">
        <v>-31537.45</v>
      </c>
      <c r="ER21" s="26">
        <v>-16124.0</v>
      </c>
      <c r="ES21" s="26">
        <v>-69997.0</v>
      </c>
      <c r="ET21" s="27">
        <f>ES21</f>
        <v>-69997</v>
      </c>
      <c r="EU21" s="19">
        <v>0.0</v>
      </c>
      <c r="EV21" s="20">
        <f t="shared" ref="EV21:EX21" si="1205">EU21</f>
        <v>0</v>
      </c>
      <c r="EW21" s="20">
        <f t="shared" si="1205"/>
        <v>0</v>
      </c>
      <c r="EX21" s="21">
        <f t="shared" si="1205"/>
        <v>0</v>
      </c>
      <c r="EY21" s="19">
        <v>0.0</v>
      </c>
      <c r="EZ21" s="20">
        <f t="shared" ref="EZ21:FB21" si="1206">EY21</f>
        <v>0</v>
      </c>
      <c r="FA21" s="20">
        <f t="shared" si="1206"/>
        <v>0</v>
      </c>
      <c r="FB21" s="21">
        <f t="shared" si="1206"/>
        <v>0</v>
      </c>
      <c r="FC21" s="19">
        <v>0.0</v>
      </c>
      <c r="FD21" s="20">
        <f t="shared" ref="FD21:FF21" si="1207">FC21</f>
        <v>0</v>
      </c>
      <c r="FE21" s="20">
        <f t="shared" si="1207"/>
        <v>0</v>
      </c>
      <c r="FF21" s="21">
        <f t="shared" si="1207"/>
        <v>0</v>
      </c>
      <c r="FG21" s="19">
        <v>3000.0</v>
      </c>
      <c r="FH21" s="20">
        <f t="shared" ref="FH21:FJ21" si="1208">FG21</f>
        <v>3000</v>
      </c>
      <c r="FI21" s="20">
        <f t="shared" si="1208"/>
        <v>3000</v>
      </c>
      <c r="FJ21" s="21">
        <f t="shared" si="1208"/>
        <v>3000</v>
      </c>
      <c r="FK21" s="19">
        <v>400.0</v>
      </c>
      <c r="FL21" s="20">
        <f t="shared" ref="FL21:FN21" si="1209">FK21</f>
        <v>400</v>
      </c>
      <c r="FM21" s="20">
        <f t="shared" si="1209"/>
        <v>400</v>
      </c>
      <c r="FN21" s="21">
        <f t="shared" si="1209"/>
        <v>400</v>
      </c>
      <c r="FO21" s="19">
        <v>0.0</v>
      </c>
      <c r="FP21" s="20">
        <f t="shared" ref="FP21:FR21" si="1210">FO21</f>
        <v>0</v>
      </c>
      <c r="FQ21" s="20">
        <f t="shared" si="1210"/>
        <v>0</v>
      </c>
      <c r="FR21" s="21">
        <f t="shared" si="1210"/>
        <v>0</v>
      </c>
      <c r="FS21" s="19">
        <v>0.0</v>
      </c>
      <c r="FT21" s="20">
        <f t="shared" ref="FT21:FV21" si="1211">FS21</f>
        <v>0</v>
      </c>
      <c r="FU21" s="20">
        <f t="shared" si="1211"/>
        <v>0</v>
      </c>
      <c r="FV21" s="21">
        <f t="shared" si="1211"/>
        <v>0</v>
      </c>
      <c r="FW21" s="19">
        <v>5000.0</v>
      </c>
      <c r="FX21" s="20">
        <f t="shared" ref="FX21:FX36" si="1284">FW21</f>
        <v>5000</v>
      </c>
      <c r="FY21" s="20">
        <v>0.0</v>
      </c>
      <c r="FZ21" s="21">
        <f>FY21</f>
        <v>0</v>
      </c>
      <c r="GA21" s="19">
        <v>0.0</v>
      </c>
      <c r="GB21" s="20">
        <f t="shared" ref="GB21:GB38" si="1286">GA21</f>
        <v>0</v>
      </c>
      <c r="GC21" s="20">
        <v>-3063.6</v>
      </c>
      <c r="GD21" s="21">
        <f>GC21</f>
        <v>-3063.6</v>
      </c>
      <c r="GE21" s="19">
        <v>0.0</v>
      </c>
      <c r="GF21" s="20">
        <f t="shared" ref="GF21:GH21" si="1212">GE21</f>
        <v>0</v>
      </c>
      <c r="GG21" s="20">
        <f t="shared" si="1212"/>
        <v>0</v>
      </c>
      <c r="GH21" s="21">
        <f t="shared" si="1212"/>
        <v>0</v>
      </c>
      <c r="GI21" s="19">
        <v>0.0</v>
      </c>
      <c r="GJ21" s="20">
        <f t="shared" ref="GJ21:GL21" si="1213">GI21</f>
        <v>0</v>
      </c>
      <c r="GK21" s="20">
        <f t="shared" si="1213"/>
        <v>0</v>
      </c>
      <c r="GL21" s="20">
        <f t="shared" si="1213"/>
        <v>0</v>
      </c>
      <c r="GM21" s="22">
        <v>0.0</v>
      </c>
      <c r="GN21" s="20">
        <f t="shared" ref="GN21:GP21" si="1214">GM21</f>
        <v>0</v>
      </c>
      <c r="GO21" s="20">
        <f t="shared" si="1214"/>
        <v>0</v>
      </c>
      <c r="GP21" s="21">
        <f t="shared" si="1214"/>
        <v>0</v>
      </c>
      <c r="GQ21" s="19">
        <v>5900.0</v>
      </c>
      <c r="GR21" s="20">
        <f t="shared" ref="GR21:GT21" si="1215">GQ21</f>
        <v>5900</v>
      </c>
      <c r="GS21" s="20">
        <f t="shared" si="1215"/>
        <v>5900</v>
      </c>
      <c r="GT21" s="21">
        <f t="shared" si="1215"/>
        <v>5900</v>
      </c>
      <c r="GU21" s="19">
        <v>0.0</v>
      </c>
      <c r="GV21" s="20">
        <f t="shared" ref="GV21:GX21" si="1216">GU21</f>
        <v>0</v>
      </c>
      <c r="GW21" s="20">
        <f t="shared" si="1216"/>
        <v>0</v>
      </c>
      <c r="GX21" s="21">
        <f t="shared" si="1216"/>
        <v>0</v>
      </c>
      <c r="GY21" s="19">
        <v>0.0</v>
      </c>
      <c r="GZ21" s="20">
        <f t="shared" ref="GZ21:HB21" si="1217">GY21</f>
        <v>0</v>
      </c>
      <c r="HA21" s="20">
        <f t="shared" si="1217"/>
        <v>0</v>
      </c>
      <c r="HB21" s="21">
        <f t="shared" si="1217"/>
        <v>0</v>
      </c>
      <c r="HC21" s="19">
        <v>0.0</v>
      </c>
      <c r="HD21" s="20">
        <f t="shared" ref="HD21:HF21" si="1218">HC21</f>
        <v>0</v>
      </c>
      <c r="HE21" s="20">
        <f t="shared" si="1218"/>
        <v>0</v>
      </c>
      <c r="HF21" s="21">
        <f t="shared" si="1218"/>
        <v>0</v>
      </c>
      <c r="HG21" s="19">
        <v>0.0</v>
      </c>
      <c r="HH21" s="20">
        <f t="shared" ref="HH21:HJ21" si="1219">HG21</f>
        <v>0</v>
      </c>
      <c r="HI21" s="20">
        <f t="shared" si="1219"/>
        <v>0</v>
      </c>
      <c r="HJ21" s="21">
        <f t="shared" si="1219"/>
        <v>0</v>
      </c>
      <c r="HK21" s="19">
        <v>100.0</v>
      </c>
      <c r="HL21" s="20">
        <f t="shared" ref="HL21:HN21" si="1220">HK21</f>
        <v>100</v>
      </c>
      <c r="HM21" s="20">
        <f t="shared" si="1220"/>
        <v>100</v>
      </c>
      <c r="HN21" s="21">
        <f t="shared" si="1220"/>
        <v>100</v>
      </c>
      <c r="HO21" s="19">
        <v>0.0</v>
      </c>
      <c r="HP21" s="20">
        <f t="shared" ref="HP21:HR21" si="1221">HO21</f>
        <v>0</v>
      </c>
      <c r="HQ21" s="20">
        <f t="shared" si="1221"/>
        <v>0</v>
      </c>
      <c r="HR21" s="21">
        <f t="shared" si="1221"/>
        <v>0</v>
      </c>
      <c r="HS21" s="19">
        <v>150000.0</v>
      </c>
      <c r="HT21" s="20">
        <f t="shared" ref="HT21:HV21" si="1222">HS21</f>
        <v>150000</v>
      </c>
      <c r="HU21" s="20">
        <f t="shared" si="1222"/>
        <v>150000</v>
      </c>
      <c r="HV21" s="21">
        <f t="shared" si="1222"/>
        <v>150000</v>
      </c>
      <c r="HW21" s="19">
        <v>1800.0</v>
      </c>
      <c r="HX21" s="20">
        <v>0.0</v>
      </c>
      <c r="HY21" s="20">
        <f t="shared" ref="HY21:HZ21" si="1223">HX21</f>
        <v>0</v>
      </c>
      <c r="HZ21" s="21">
        <f t="shared" si="1223"/>
        <v>0</v>
      </c>
      <c r="IA21" s="19">
        <v>200.0</v>
      </c>
      <c r="IB21" s="20">
        <v>0.0</v>
      </c>
      <c r="IC21" s="20">
        <f t="shared" ref="IC21:ID21" si="1224">IB21</f>
        <v>0</v>
      </c>
      <c r="ID21" s="21">
        <f t="shared" si="1224"/>
        <v>0</v>
      </c>
      <c r="IE21" s="19">
        <v>0.0</v>
      </c>
      <c r="IF21" s="20">
        <f t="shared" ref="IF21:IH21" si="1225">IE21</f>
        <v>0</v>
      </c>
      <c r="IG21" s="20">
        <f t="shared" si="1225"/>
        <v>0</v>
      </c>
      <c r="IH21" s="21">
        <f t="shared" si="1225"/>
        <v>0</v>
      </c>
      <c r="II21" s="19">
        <v>0.0</v>
      </c>
      <c r="IJ21" s="20">
        <f t="shared" ref="IJ21:IL21" si="1226">II21</f>
        <v>0</v>
      </c>
      <c r="IK21" s="20">
        <f t="shared" si="1226"/>
        <v>0</v>
      </c>
      <c r="IL21" s="20">
        <f t="shared" si="1226"/>
        <v>0</v>
      </c>
      <c r="IM21" s="35">
        <v>5000.0</v>
      </c>
      <c r="IN21" s="20">
        <f t="shared" ref="IN21:IP21" si="1227">IM21</f>
        <v>5000</v>
      </c>
      <c r="IO21" s="20">
        <f t="shared" si="1227"/>
        <v>5000</v>
      </c>
      <c r="IP21" s="21">
        <f t="shared" si="1227"/>
        <v>5000</v>
      </c>
      <c r="IQ21" s="19">
        <v>0.0</v>
      </c>
      <c r="IR21" s="20">
        <f t="shared" ref="IR21:IT21" si="1228">IQ21</f>
        <v>0</v>
      </c>
      <c r="IS21" s="20">
        <f t="shared" si="1228"/>
        <v>0</v>
      </c>
      <c r="IT21" s="21">
        <f t="shared" si="1228"/>
        <v>0</v>
      </c>
      <c r="IU21" s="19">
        <v>3000.0</v>
      </c>
      <c r="IV21" s="20">
        <f t="shared" ref="IV21:IV36" si="1305">IU21</f>
        <v>3000</v>
      </c>
      <c r="IW21" s="20">
        <v>0.0</v>
      </c>
      <c r="IX21" s="21">
        <f>IW21</f>
        <v>0</v>
      </c>
      <c r="IY21" s="19">
        <v>0.0</v>
      </c>
      <c r="IZ21" s="20">
        <f t="shared" ref="IZ21:JB21" si="1229">IY21</f>
        <v>0</v>
      </c>
      <c r="JA21" s="20">
        <f t="shared" si="1229"/>
        <v>0</v>
      </c>
      <c r="JB21" s="21">
        <f t="shared" si="1229"/>
        <v>0</v>
      </c>
      <c r="JC21" s="19">
        <v>0.0</v>
      </c>
      <c r="JD21" s="20">
        <f t="shared" ref="JD21:JF21" si="1230">JC21</f>
        <v>0</v>
      </c>
      <c r="JE21" s="20">
        <f t="shared" si="1230"/>
        <v>0</v>
      </c>
      <c r="JF21" s="20">
        <f t="shared" si="1230"/>
        <v>0</v>
      </c>
      <c r="JG21" s="19">
        <v>0.0</v>
      </c>
      <c r="JH21" s="20">
        <f t="shared" ref="JH21:JJ21" si="1231">JG21</f>
        <v>0</v>
      </c>
      <c r="JI21" s="20">
        <f t="shared" si="1231"/>
        <v>0</v>
      </c>
      <c r="JJ21" s="21">
        <f t="shared" si="1231"/>
        <v>0</v>
      </c>
      <c r="JK21" s="19">
        <v>0.0</v>
      </c>
      <c r="JL21" s="20">
        <f t="shared" ref="JL21:JN21" si="1232">JK21</f>
        <v>0</v>
      </c>
      <c r="JM21" s="20">
        <f t="shared" si="1232"/>
        <v>0</v>
      </c>
      <c r="JN21" s="21">
        <f t="shared" si="1232"/>
        <v>0</v>
      </c>
      <c r="JO21" s="19">
        <v>0.0</v>
      </c>
      <c r="JP21" s="20">
        <f t="shared" ref="JP21:JR21" si="1233">JO21</f>
        <v>0</v>
      </c>
      <c r="JQ21" s="20">
        <f t="shared" si="1233"/>
        <v>0</v>
      </c>
      <c r="JR21" s="21">
        <f t="shared" si="1233"/>
        <v>0</v>
      </c>
      <c r="JS21" s="19">
        <v>1000.0</v>
      </c>
      <c r="JT21" s="20">
        <f t="shared" ref="JT21:JV21" si="1234">JS21</f>
        <v>1000</v>
      </c>
      <c r="JU21" s="20">
        <f t="shared" si="1234"/>
        <v>1000</v>
      </c>
      <c r="JV21" s="21">
        <f t="shared" si="1234"/>
        <v>1000</v>
      </c>
      <c r="JW21" s="19">
        <v>0.0</v>
      </c>
      <c r="JX21" s="20">
        <f t="shared" ref="JX21:JZ21" si="1235">JW21</f>
        <v>0</v>
      </c>
      <c r="JY21" s="20">
        <f t="shared" si="1235"/>
        <v>0</v>
      </c>
      <c r="JZ21" s="21">
        <f t="shared" si="1235"/>
        <v>0</v>
      </c>
    </row>
    <row r="22" ht="15.75" customHeight="1">
      <c r="A22" s="24" t="s">
        <v>100</v>
      </c>
      <c r="B22" s="18"/>
      <c r="C22" s="19">
        <v>0.0</v>
      </c>
      <c r="D22" s="20">
        <f t="shared" ref="D22:F22" si="1236">C22</f>
        <v>0</v>
      </c>
      <c r="E22" s="20">
        <f t="shared" si="1236"/>
        <v>0</v>
      </c>
      <c r="F22" s="21">
        <f t="shared" si="1236"/>
        <v>0</v>
      </c>
      <c r="G22" s="19">
        <v>0.0</v>
      </c>
      <c r="H22" s="20">
        <f t="shared" ref="H22:J22" si="1237">G22</f>
        <v>0</v>
      </c>
      <c r="I22" s="20">
        <f t="shared" si="1237"/>
        <v>0</v>
      </c>
      <c r="J22" s="21">
        <f t="shared" si="1237"/>
        <v>0</v>
      </c>
      <c r="K22" s="19">
        <v>0.0</v>
      </c>
      <c r="L22" s="20">
        <f t="shared" ref="L22:N22" si="1238">K22</f>
        <v>0</v>
      </c>
      <c r="M22" s="20">
        <f t="shared" si="1238"/>
        <v>0</v>
      </c>
      <c r="N22" s="21">
        <f t="shared" si="1238"/>
        <v>0</v>
      </c>
      <c r="O22" s="19">
        <v>0.0</v>
      </c>
      <c r="P22" s="20">
        <f t="shared" ref="P22:R22" si="1239">O22</f>
        <v>0</v>
      </c>
      <c r="Q22" s="20">
        <f t="shared" si="1239"/>
        <v>0</v>
      </c>
      <c r="R22" s="21">
        <f t="shared" si="1239"/>
        <v>0</v>
      </c>
      <c r="S22" s="19">
        <v>0.0</v>
      </c>
      <c r="T22" s="20">
        <f t="shared" ref="T22:V22" si="1240">S22</f>
        <v>0</v>
      </c>
      <c r="U22" s="20">
        <f t="shared" si="1240"/>
        <v>0</v>
      </c>
      <c r="V22" s="21">
        <f t="shared" si="1240"/>
        <v>0</v>
      </c>
      <c r="W22" s="34">
        <v>0.0</v>
      </c>
      <c r="X22" s="20">
        <f t="shared" ref="X22:Z22" si="1241">W22</f>
        <v>0</v>
      </c>
      <c r="Y22" s="20">
        <f t="shared" si="1241"/>
        <v>0</v>
      </c>
      <c r="Z22" s="21">
        <f t="shared" si="1241"/>
        <v>0</v>
      </c>
      <c r="AA22" s="19">
        <f>80000+50000+700+3500+1784+5000+2000+5000+120+200+2700+2400</f>
        <v>153404</v>
      </c>
      <c r="AB22" s="20">
        <f t="shared" ref="AB22:AD22" si="1242">AA22</f>
        <v>153404</v>
      </c>
      <c r="AC22" s="20">
        <f t="shared" si="1242"/>
        <v>153404</v>
      </c>
      <c r="AD22" s="21">
        <f t="shared" si="1242"/>
        <v>153404</v>
      </c>
      <c r="AE22" s="19">
        <v>0.0</v>
      </c>
      <c r="AF22" s="20">
        <f t="shared" ref="AF22:AH22" si="1243">AE22</f>
        <v>0</v>
      </c>
      <c r="AG22" s="20">
        <f t="shared" si="1243"/>
        <v>0</v>
      </c>
      <c r="AH22" s="21">
        <f t="shared" si="1243"/>
        <v>0</v>
      </c>
      <c r="AI22" s="19">
        <v>0.0</v>
      </c>
      <c r="AJ22" s="20">
        <f t="shared" ref="AJ22:AL22" si="1244">AI22</f>
        <v>0</v>
      </c>
      <c r="AK22" s="20">
        <f t="shared" si="1244"/>
        <v>0</v>
      </c>
      <c r="AL22" s="21">
        <f t="shared" si="1244"/>
        <v>0</v>
      </c>
      <c r="AM22" s="19">
        <v>1200.0</v>
      </c>
      <c r="AN22" s="20">
        <f t="shared" ref="AN22:AP22" si="1245">AM22</f>
        <v>1200</v>
      </c>
      <c r="AO22" s="20">
        <f t="shared" si="1245"/>
        <v>1200</v>
      </c>
      <c r="AP22" s="21">
        <f t="shared" si="1245"/>
        <v>1200</v>
      </c>
      <c r="AQ22" s="19">
        <v>0.0</v>
      </c>
      <c r="AR22" s="20">
        <f t="shared" ref="AR22:AT22" si="1246">AQ22</f>
        <v>0</v>
      </c>
      <c r="AS22" s="20">
        <f t="shared" si="1246"/>
        <v>0</v>
      </c>
      <c r="AT22" s="21">
        <f t="shared" si="1246"/>
        <v>0</v>
      </c>
      <c r="AU22" s="19">
        <v>6000.0</v>
      </c>
      <c r="AV22" s="20">
        <f t="shared" ref="AV22:AX22" si="1247">AU22</f>
        <v>6000</v>
      </c>
      <c r="AW22" s="20">
        <f t="shared" si="1247"/>
        <v>6000</v>
      </c>
      <c r="AX22" s="21">
        <f t="shared" si="1247"/>
        <v>6000</v>
      </c>
      <c r="AY22" s="19">
        <v>0.0</v>
      </c>
      <c r="AZ22" s="20">
        <f t="shared" ref="AZ22:BB22" si="1248">AY22</f>
        <v>0</v>
      </c>
      <c r="BA22" s="20">
        <f t="shared" si="1248"/>
        <v>0</v>
      </c>
      <c r="BB22" s="21">
        <f t="shared" si="1248"/>
        <v>0</v>
      </c>
      <c r="BC22" s="19">
        <v>1000.0</v>
      </c>
      <c r="BD22" s="20">
        <v>0.0</v>
      </c>
      <c r="BE22" s="20">
        <v>1000.0</v>
      </c>
      <c r="BF22" s="21">
        <f t="shared" si="1249"/>
        <v>1000</v>
      </c>
      <c r="BG22" s="19">
        <v>0.0</v>
      </c>
      <c r="BH22" s="20">
        <f t="shared" ref="BH22:BJ22" si="1250">BG22</f>
        <v>0</v>
      </c>
      <c r="BI22" s="20">
        <f t="shared" si="1250"/>
        <v>0</v>
      </c>
      <c r="BJ22" s="21">
        <f t="shared" si="1250"/>
        <v>0</v>
      </c>
      <c r="BK22" s="19">
        <v>1500.0</v>
      </c>
      <c r="BL22" s="20">
        <f t="shared" ref="BL22:BN22" si="1251">BK22</f>
        <v>1500</v>
      </c>
      <c r="BM22" s="20">
        <f t="shared" si="1251"/>
        <v>1500</v>
      </c>
      <c r="BN22" s="21">
        <f t="shared" si="1251"/>
        <v>1500</v>
      </c>
      <c r="BO22" s="19">
        <v>0.0</v>
      </c>
      <c r="BP22" s="20">
        <f t="shared" ref="BP22:BR22" si="1252">BO22</f>
        <v>0</v>
      </c>
      <c r="BQ22" s="20">
        <f t="shared" si="1252"/>
        <v>0</v>
      </c>
      <c r="BR22" s="21">
        <f t="shared" si="1252"/>
        <v>0</v>
      </c>
      <c r="BS22" s="19">
        <v>0.0</v>
      </c>
      <c r="BT22" s="20">
        <f t="shared" si="1253"/>
        <v>0</v>
      </c>
      <c r="BU22" s="20">
        <f t="shared" ref="BU22:BV22" si="1254">BT22</f>
        <v>0</v>
      </c>
      <c r="BV22" s="21">
        <f t="shared" si="1254"/>
        <v>0</v>
      </c>
      <c r="BW22" s="19">
        <v>0.0</v>
      </c>
      <c r="BX22" s="20">
        <f t="shared" ref="BX22:BZ22" si="1255">BW22</f>
        <v>0</v>
      </c>
      <c r="BY22" s="20">
        <f t="shared" si="1255"/>
        <v>0</v>
      </c>
      <c r="BZ22" s="21">
        <f t="shared" si="1255"/>
        <v>0</v>
      </c>
      <c r="CA22" s="19">
        <v>0.0</v>
      </c>
      <c r="CB22" s="20">
        <f t="shared" ref="CB22:CD22" si="1256">CA22</f>
        <v>0</v>
      </c>
      <c r="CC22" s="20">
        <f t="shared" si="1256"/>
        <v>0</v>
      </c>
      <c r="CD22" s="21">
        <f t="shared" si="1256"/>
        <v>0</v>
      </c>
      <c r="CE22" s="19">
        <v>0.0</v>
      </c>
      <c r="CF22" s="20">
        <f t="shared" ref="CF22:CH22" si="1257">CE22</f>
        <v>0</v>
      </c>
      <c r="CG22" s="20">
        <f t="shared" si="1257"/>
        <v>0</v>
      </c>
      <c r="CH22" s="21">
        <f t="shared" si="1257"/>
        <v>0</v>
      </c>
      <c r="CI22" s="19">
        <v>0.0</v>
      </c>
      <c r="CJ22" s="20">
        <f t="shared" ref="CJ22:CL22" si="1258">CI22</f>
        <v>0</v>
      </c>
      <c r="CK22" s="20">
        <f t="shared" si="1258"/>
        <v>0</v>
      </c>
      <c r="CL22" s="21">
        <f t="shared" si="1258"/>
        <v>0</v>
      </c>
      <c r="CM22" s="19">
        <v>0.0</v>
      </c>
      <c r="CN22" s="20">
        <f t="shared" ref="CN22:CP22" si="1259">CM22</f>
        <v>0</v>
      </c>
      <c r="CO22" s="20">
        <f t="shared" si="1259"/>
        <v>0</v>
      </c>
      <c r="CP22" s="21">
        <f t="shared" si="1259"/>
        <v>0</v>
      </c>
      <c r="CQ22" s="19">
        <v>0.0</v>
      </c>
      <c r="CR22" s="20">
        <f t="shared" ref="CR22:CT22" si="1260">CQ22</f>
        <v>0</v>
      </c>
      <c r="CS22" s="20">
        <f t="shared" si="1260"/>
        <v>0</v>
      </c>
      <c r="CT22" s="21">
        <f t="shared" si="1260"/>
        <v>0</v>
      </c>
      <c r="CU22" s="19">
        <v>0.0</v>
      </c>
      <c r="CV22" s="20">
        <f t="shared" si="1261"/>
        <v>0</v>
      </c>
      <c r="CW22" s="20">
        <f t="shared" ref="CW22:CX22" si="1262">CV22</f>
        <v>0</v>
      </c>
      <c r="CX22" s="21">
        <f t="shared" si="1262"/>
        <v>0</v>
      </c>
      <c r="CY22" s="19">
        <v>0.0</v>
      </c>
      <c r="CZ22" s="20">
        <f t="shared" ref="CZ22:DB22" si="1263">CY22</f>
        <v>0</v>
      </c>
      <c r="DA22" s="20">
        <f t="shared" si="1263"/>
        <v>0</v>
      </c>
      <c r="DB22" s="21">
        <f t="shared" si="1263"/>
        <v>0</v>
      </c>
      <c r="DC22" s="19">
        <v>0.0</v>
      </c>
      <c r="DD22" s="20">
        <f t="shared" si="1264"/>
        <v>0</v>
      </c>
      <c r="DE22" s="20">
        <f t="shared" ref="DE22:DF22" si="1265">DD22</f>
        <v>0</v>
      </c>
      <c r="DF22" s="21">
        <f t="shared" si="1265"/>
        <v>0</v>
      </c>
      <c r="DG22" s="19">
        <v>0.0</v>
      </c>
      <c r="DH22" s="20">
        <f t="shared" ref="DH22:DJ22" si="1266">DG22</f>
        <v>0</v>
      </c>
      <c r="DI22" s="20">
        <f t="shared" si="1266"/>
        <v>0</v>
      </c>
      <c r="DJ22" s="21">
        <f t="shared" si="1266"/>
        <v>0</v>
      </c>
      <c r="DK22" s="19">
        <v>1150.0</v>
      </c>
      <c r="DL22" s="20">
        <f t="shared" ref="DL22:DN22" si="1267">DK22</f>
        <v>1150</v>
      </c>
      <c r="DM22" s="20">
        <f t="shared" si="1267"/>
        <v>1150</v>
      </c>
      <c r="DN22" s="21">
        <f t="shared" si="1267"/>
        <v>1150</v>
      </c>
      <c r="DO22" s="19">
        <v>0.0</v>
      </c>
      <c r="DP22" s="20">
        <f t="shared" ref="DP22:DR22" si="1268">DO22</f>
        <v>0</v>
      </c>
      <c r="DQ22" s="20">
        <f t="shared" si="1268"/>
        <v>0</v>
      </c>
      <c r="DR22" s="21">
        <f t="shared" si="1268"/>
        <v>0</v>
      </c>
      <c r="DS22" s="19">
        <v>1000.0</v>
      </c>
      <c r="DT22" s="20">
        <f t="shared" ref="DT22:DV22" si="1269">DS22</f>
        <v>1000</v>
      </c>
      <c r="DU22" s="20">
        <f t="shared" si="1269"/>
        <v>1000</v>
      </c>
      <c r="DV22" s="21">
        <f t="shared" si="1269"/>
        <v>1000</v>
      </c>
      <c r="DW22" s="19">
        <v>0.0</v>
      </c>
      <c r="DX22" s="20">
        <f t="shared" ref="DX22:DZ22" si="1270">DW22</f>
        <v>0</v>
      </c>
      <c r="DY22" s="20">
        <f t="shared" si="1270"/>
        <v>0</v>
      </c>
      <c r="DZ22" s="21">
        <f t="shared" si="1270"/>
        <v>0</v>
      </c>
      <c r="EA22" s="19">
        <v>0.0</v>
      </c>
      <c r="EB22" s="20">
        <f t="shared" si="1271"/>
        <v>0</v>
      </c>
      <c r="EC22" s="20">
        <f t="shared" ref="EC22:ED22" si="1272">EB22</f>
        <v>0</v>
      </c>
      <c r="ED22" s="21">
        <f t="shared" si="1272"/>
        <v>0</v>
      </c>
      <c r="EE22" s="19">
        <v>0.0</v>
      </c>
      <c r="EF22" s="20">
        <f t="shared" ref="EF22:EH22" si="1273">EE22</f>
        <v>0</v>
      </c>
      <c r="EG22" s="20">
        <f t="shared" si="1273"/>
        <v>0</v>
      </c>
      <c r="EH22" s="21">
        <f t="shared" si="1273"/>
        <v>0</v>
      </c>
      <c r="EI22" s="19">
        <v>0.0</v>
      </c>
      <c r="EJ22" s="21">
        <f t="shared" ref="EJ22:EK22" si="1274">EI22</f>
        <v>0</v>
      </c>
      <c r="EK22" s="21">
        <f t="shared" si="1274"/>
        <v>0</v>
      </c>
      <c r="EL22" s="21">
        <f t="shared" si="797"/>
        <v>0</v>
      </c>
      <c r="EM22" s="19">
        <v>0.0</v>
      </c>
      <c r="EN22" s="20">
        <f t="shared" ref="EN22:EP22" si="1275">EM22</f>
        <v>0</v>
      </c>
      <c r="EO22" s="20">
        <f t="shared" si="1275"/>
        <v>0</v>
      </c>
      <c r="EP22" s="21">
        <f t="shared" si="1275"/>
        <v>0</v>
      </c>
      <c r="EQ22" s="19">
        <v>0.0</v>
      </c>
      <c r="ER22" s="20">
        <f t="shared" ref="ER22:ET22" si="1276">EQ22</f>
        <v>0</v>
      </c>
      <c r="ES22" s="20">
        <f t="shared" si="1276"/>
        <v>0</v>
      </c>
      <c r="ET22" s="21">
        <f t="shared" si="1276"/>
        <v>0</v>
      </c>
      <c r="EU22" s="19">
        <v>0.0</v>
      </c>
      <c r="EV22" s="20">
        <f t="shared" ref="EV22:EX22" si="1277">EU22</f>
        <v>0</v>
      </c>
      <c r="EW22" s="20">
        <f t="shared" si="1277"/>
        <v>0</v>
      </c>
      <c r="EX22" s="21">
        <f t="shared" si="1277"/>
        <v>0</v>
      </c>
      <c r="EY22" s="19">
        <v>500.0</v>
      </c>
      <c r="EZ22" s="20">
        <f t="shared" ref="EZ22:FB22" si="1278">EY22</f>
        <v>500</v>
      </c>
      <c r="FA22" s="20">
        <f t="shared" si="1278"/>
        <v>500</v>
      </c>
      <c r="FB22" s="21">
        <f t="shared" si="1278"/>
        <v>500</v>
      </c>
      <c r="FC22" s="19">
        <v>0.0</v>
      </c>
      <c r="FD22" s="20">
        <f t="shared" ref="FD22:FF22" si="1279">FC22</f>
        <v>0</v>
      </c>
      <c r="FE22" s="20">
        <f t="shared" si="1279"/>
        <v>0</v>
      </c>
      <c r="FF22" s="21">
        <f t="shared" si="1279"/>
        <v>0</v>
      </c>
      <c r="FG22" s="19">
        <v>0.0</v>
      </c>
      <c r="FH22" s="20">
        <f t="shared" ref="FH22:FJ22" si="1280">FG22</f>
        <v>0</v>
      </c>
      <c r="FI22" s="20">
        <f t="shared" si="1280"/>
        <v>0</v>
      </c>
      <c r="FJ22" s="21">
        <f t="shared" si="1280"/>
        <v>0</v>
      </c>
      <c r="FK22" s="19">
        <v>0.0</v>
      </c>
      <c r="FL22" s="20">
        <f t="shared" ref="FL22:FN22" si="1281">FK22</f>
        <v>0</v>
      </c>
      <c r="FM22" s="20">
        <f t="shared" si="1281"/>
        <v>0</v>
      </c>
      <c r="FN22" s="21">
        <f t="shared" si="1281"/>
        <v>0</v>
      </c>
      <c r="FO22" s="19">
        <v>0.0</v>
      </c>
      <c r="FP22" s="20">
        <f t="shared" ref="FP22:FR22" si="1282">FO22</f>
        <v>0</v>
      </c>
      <c r="FQ22" s="20">
        <f t="shared" si="1282"/>
        <v>0</v>
      </c>
      <c r="FR22" s="21">
        <f t="shared" si="1282"/>
        <v>0</v>
      </c>
      <c r="FS22" s="19">
        <v>0.0</v>
      </c>
      <c r="FT22" s="20">
        <f t="shared" ref="FT22:FV22" si="1283">FS22</f>
        <v>0</v>
      </c>
      <c r="FU22" s="20">
        <f t="shared" si="1283"/>
        <v>0</v>
      </c>
      <c r="FV22" s="21">
        <f t="shared" si="1283"/>
        <v>0</v>
      </c>
      <c r="FW22" s="19">
        <v>0.0</v>
      </c>
      <c r="FX22" s="20">
        <f t="shared" si="1284"/>
        <v>0</v>
      </c>
      <c r="FY22" s="20">
        <f t="shared" ref="FY22:FZ22" si="1285">FX22</f>
        <v>0</v>
      </c>
      <c r="FZ22" s="21">
        <f t="shared" si="1285"/>
        <v>0</v>
      </c>
      <c r="GA22" s="19">
        <v>0.0</v>
      </c>
      <c r="GB22" s="20">
        <f t="shared" si="1286"/>
        <v>0</v>
      </c>
      <c r="GC22" s="20">
        <f t="shared" ref="GC22:GD22" si="1287">GB22</f>
        <v>0</v>
      </c>
      <c r="GD22" s="21">
        <f t="shared" si="1287"/>
        <v>0</v>
      </c>
      <c r="GE22" s="19">
        <v>0.0</v>
      </c>
      <c r="GF22" s="20">
        <f t="shared" ref="GF22:GH22" si="1288">GE22</f>
        <v>0</v>
      </c>
      <c r="GG22" s="20">
        <f t="shared" si="1288"/>
        <v>0</v>
      </c>
      <c r="GH22" s="21">
        <f t="shared" si="1288"/>
        <v>0</v>
      </c>
      <c r="GI22" s="19">
        <v>0.0</v>
      </c>
      <c r="GJ22" s="20">
        <f t="shared" ref="GJ22:GL22" si="1289">GI22</f>
        <v>0</v>
      </c>
      <c r="GK22" s="20">
        <f t="shared" si="1289"/>
        <v>0</v>
      </c>
      <c r="GL22" s="20">
        <f t="shared" si="1289"/>
        <v>0</v>
      </c>
      <c r="GM22" s="22">
        <v>0.0</v>
      </c>
      <c r="GN22" s="20">
        <f t="shared" ref="GN22:GP22" si="1290">GM22</f>
        <v>0</v>
      </c>
      <c r="GO22" s="20">
        <f t="shared" si="1290"/>
        <v>0</v>
      </c>
      <c r="GP22" s="21">
        <f t="shared" si="1290"/>
        <v>0</v>
      </c>
      <c r="GQ22" s="19">
        <v>0.0</v>
      </c>
      <c r="GR22" s="20">
        <f t="shared" ref="GR22:GT22" si="1291">GQ22</f>
        <v>0</v>
      </c>
      <c r="GS22" s="20">
        <f t="shared" si="1291"/>
        <v>0</v>
      </c>
      <c r="GT22" s="21">
        <f t="shared" si="1291"/>
        <v>0</v>
      </c>
      <c r="GU22" s="19">
        <v>0.0</v>
      </c>
      <c r="GV22" s="20">
        <f t="shared" ref="GV22:GX22" si="1292">GU22</f>
        <v>0</v>
      </c>
      <c r="GW22" s="20">
        <f t="shared" si="1292"/>
        <v>0</v>
      </c>
      <c r="GX22" s="21">
        <f t="shared" si="1292"/>
        <v>0</v>
      </c>
      <c r="GY22" s="19">
        <v>0.0</v>
      </c>
      <c r="GZ22" s="20">
        <f t="shared" ref="GZ22:HB22" si="1293">GY22</f>
        <v>0</v>
      </c>
      <c r="HA22" s="20">
        <f t="shared" si="1293"/>
        <v>0</v>
      </c>
      <c r="HB22" s="21">
        <f t="shared" si="1293"/>
        <v>0</v>
      </c>
      <c r="HC22" s="19">
        <v>0.0</v>
      </c>
      <c r="HD22" s="20">
        <f t="shared" ref="HD22:HF22" si="1294">HC22</f>
        <v>0</v>
      </c>
      <c r="HE22" s="20">
        <f t="shared" si="1294"/>
        <v>0</v>
      </c>
      <c r="HF22" s="21">
        <f t="shared" si="1294"/>
        <v>0</v>
      </c>
      <c r="HG22" s="19">
        <v>0.0</v>
      </c>
      <c r="HH22" s="20">
        <f t="shared" ref="HH22:HJ22" si="1295">HG22</f>
        <v>0</v>
      </c>
      <c r="HI22" s="20">
        <f t="shared" si="1295"/>
        <v>0</v>
      </c>
      <c r="HJ22" s="21">
        <f t="shared" si="1295"/>
        <v>0</v>
      </c>
      <c r="HK22" s="19">
        <v>0.0</v>
      </c>
      <c r="HL22" s="20">
        <f t="shared" ref="HL22:HN22" si="1296">HK22</f>
        <v>0</v>
      </c>
      <c r="HM22" s="20">
        <f t="shared" si="1296"/>
        <v>0</v>
      </c>
      <c r="HN22" s="21">
        <f t="shared" si="1296"/>
        <v>0</v>
      </c>
      <c r="HO22" s="19">
        <v>0.0</v>
      </c>
      <c r="HP22" s="20">
        <f t="shared" ref="HP22:HR22" si="1297">HO22</f>
        <v>0</v>
      </c>
      <c r="HQ22" s="20">
        <f t="shared" si="1297"/>
        <v>0</v>
      </c>
      <c r="HR22" s="21">
        <f t="shared" si="1297"/>
        <v>0</v>
      </c>
      <c r="HS22" s="19">
        <v>0.0</v>
      </c>
      <c r="HT22" s="20">
        <f t="shared" ref="HT22:HV22" si="1298">HS22</f>
        <v>0</v>
      </c>
      <c r="HU22" s="20">
        <f t="shared" si="1298"/>
        <v>0</v>
      </c>
      <c r="HV22" s="21">
        <f t="shared" si="1298"/>
        <v>0</v>
      </c>
      <c r="HW22" s="19">
        <v>0.0</v>
      </c>
      <c r="HX22" s="20">
        <f t="shared" ref="HX22:HZ22" si="1299">HW22</f>
        <v>0</v>
      </c>
      <c r="HY22" s="20">
        <f t="shared" si="1299"/>
        <v>0</v>
      </c>
      <c r="HZ22" s="21">
        <f t="shared" si="1299"/>
        <v>0</v>
      </c>
      <c r="IA22" s="19">
        <v>0.0</v>
      </c>
      <c r="IB22" s="20">
        <f t="shared" ref="IB22:ID22" si="1300">IA22</f>
        <v>0</v>
      </c>
      <c r="IC22" s="20">
        <f t="shared" si="1300"/>
        <v>0</v>
      </c>
      <c r="ID22" s="21">
        <f t="shared" si="1300"/>
        <v>0</v>
      </c>
      <c r="IE22" s="19">
        <v>0.0</v>
      </c>
      <c r="IF22" s="20">
        <f t="shared" ref="IF22:IH22" si="1301">IE22</f>
        <v>0</v>
      </c>
      <c r="IG22" s="20">
        <f t="shared" si="1301"/>
        <v>0</v>
      </c>
      <c r="IH22" s="21">
        <f t="shared" si="1301"/>
        <v>0</v>
      </c>
      <c r="II22" s="19">
        <v>0.0</v>
      </c>
      <c r="IJ22" s="20">
        <f t="shared" ref="IJ22:IL22" si="1302">II22</f>
        <v>0</v>
      </c>
      <c r="IK22" s="20">
        <f t="shared" si="1302"/>
        <v>0</v>
      </c>
      <c r="IL22" s="20">
        <f t="shared" si="1302"/>
        <v>0</v>
      </c>
      <c r="IM22" s="35">
        <v>0.0</v>
      </c>
      <c r="IN22" s="20">
        <f t="shared" ref="IN22:IP22" si="1303">IM22</f>
        <v>0</v>
      </c>
      <c r="IO22" s="20">
        <f t="shared" si="1303"/>
        <v>0</v>
      </c>
      <c r="IP22" s="21">
        <f t="shared" si="1303"/>
        <v>0</v>
      </c>
      <c r="IQ22" s="19">
        <v>0.0</v>
      </c>
      <c r="IR22" s="20">
        <f t="shared" ref="IR22:IT22" si="1304">IQ22</f>
        <v>0</v>
      </c>
      <c r="IS22" s="20">
        <f t="shared" si="1304"/>
        <v>0</v>
      </c>
      <c r="IT22" s="21">
        <f t="shared" si="1304"/>
        <v>0</v>
      </c>
      <c r="IU22" s="19">
        <v>0.0</v>
      </c>
      <c r="IV22" s="20">
        <f t="shared" si="1305"/>
        <v>0</v>
      </c>
      <c r="IW22" s="20">
        <f t="shared" ref="IW22:IX22" si="1306">IV22</f>
        <v>0</v>
      </c>
      <c r="IX22" s="21">
        <f t="shared" si="1306"/>
        <v>0</v>
      </c>
      <c r="IY22" s="19">
        <v>0.0</v>
      </c>
      <c r="IZ22" s="20">
        <f t="shared" ref="IZ22:JB22" si="1307">IY22</f>
        <v>0</v>
      </c>
      <c r="JA22" s="20">
        <f t="shared" si="1307"/>
        <v>0</v>
      </c>
      <c r="JB22" s="21">
        <f t="shared" si="1307"/>
        <v>0</v>
      </c>
      <c r="JC22" s="19">
        <v>0.0</v>
      </c>
      <c r="JD22" s="20">
        <f t="shared" ref="JD22:JF22" si="1308">JC22</f>
        <v>0</v>
      </c>
      <c r="JE22" s="20">
        <f t="shared" si="1308"/>
        <v>0</v>
      </c>
      <c r="JF22" s="20">
        <f t="shared" si="1308"/>
        <v>0</v>
      </c>
      <c r="JG22" s="19">
        <v>0.0</v>
      </c>
      <c r="JH22" s="20">
        <f t="shared" ref="JH22:JJ22" si="1309">JG22</f>
        <v>0</v>
      </c>
      <c r="JI22" s="20">
        <f t="shared" si="1309"/>
        <v>0</v>
      </c>
      <c r="JJ22" s="21">
        <f t="shared" si="1309"/>
        <v>0</v>
      </c>
      <c r="JK22" s="19">
        <v>0.0</v>
      </c>
      <c r="JL22" s="20">
        <f t="shared" ref="JL22:JN22" si="1310">JK22</f>
        <v>0</v>
      </c>
      <c r="JM22" s="20">
        <f t="shared" si="1310"/>
        <v>0</v>
      </c>
      <c r="JN22" s="21">
        <f t="shared" si="1310"/>
        <v>0</v>
      </c>
      <c r="JO22" s="19">
        <v>0.0</v>
      </c>
      <c r="JP22" s="20">
        <f t="shared" ref="JP22:JR22" si="1311">JO22</f>
        <v>0</v>
      </c>
      <c r="JQ22" s="20">
        <f t="shared" si="1311"/>
        <v>0</v>
      </c>
      <c r="JR22" s="21">
        <f t="shared" si="1311"/>
        <v>0</v>
      </c>
      <c r="JS22" s="19">
        <v>0.0</v>
      </c>
      <c r="JT22" s="20">
        <f t="shared" ref="JT22:JV22" si="1312">JS22</f>
        <v>0</v>
      </c>
      <c r="JU22" s="20">
        <f t="shared" si="1312"/>
        <v>0</v>
      </c>
      <c r="JV22" s="21">
        <f t="shared" si="1312"/>
        <v>0</v>
      </c>
      <c r="JW22" s="19">
        <v>0.0</v>
      </c>
      <c r="JX22" s="20">
        <f t="shared" ref="JX22:JZ22" si="1313">JW22</f>
        <v>0</v>
      </c>
      <c r="JY22" s="20">
        <f t="shared" si="1313"/>
        <v>0</v>
      </c>
      <c r="JZ22" s="21">
        <f t="shared" si="1313"/>
        <v>0</v>
      </c>
    </row>
    <row r="23" ht="15.75" customHeight="1">
      <c r="A23" s="24" t="s">
        <v>101</v>
      </c>
      <c r="B23" s="18"/>
      <c r="C23" s="19">
        <v>9000.0</v>
      </c>
      <c r="D23" s="20">
        <v>9000.0</v>
      </c>
      <c r="E23" s="20">
        <f t="shared" ref="E23:F23" si="1314">D23</f>
        <v>9000</v>
      </c>
      <c r="F23" s="21">
        <f t="shared" si="1314"/>
        <v>9000</v>
      </c>
      <c r="G23" s="19">
        <v>12000.0</v>
      </c>
      <c r="H23" s="20">
        <f t="shared" ref="H23:I23" si="1315">G23</f>
        <v>12000</v>
      </c>
      <c r="I23" s="20">
        <f t="shared" si="1315"/>
        <v>12000</v>
      </c>
      <c r="J23" s="21">
        <v>14000.0</v>
      </c>
      <c r="K23" s="19">
        <v>0.0</v>
      </c>
      <c r="L23" s="20">
        <f t="shared" ref="L23:N23" si="1316">K23</f>
        <v>0</v>
      </c>
      <c r="M23" s="20">
        <f t="shared" si="1316"/>
        <v>0</v>
      </c>
      <c r="N23" s="21">
        <f t="shared" si="1316"/>
        <v>0</v>
      </c>
      <c r="O23" s="19">
        <v>0.0</v>
      </c>
      <c r="P23" s="20">
        <f t="shared" ref="P23:R23" si="1317">O23</f>
        <v>0</v>
      </c>
      <c r="Q23" s="20">
        <f t="shared" si="1317"/>
        <v>0</v>
      </c>
      <c r="R23" s="21">
        <f t="shared" si="1317"/>
        <v>0</v>
      </c>
      <c r="S23" s="19">
        <v>700.0</v>
      </c>
      <c r="T23" s="20">
        <f t="shared" ref="T23:V23" si="1318">S23</f>
        <v>700</v>
      </c>
      <c r="U23" s="20">
        <f t="shared" si="1318"/>
        <v>700</v>
      </c>
      <c r="V23" s="21">
        <f t="shared" si="1318"/>
        <v>700</v>
      </c>
      <c r="W23" s="36">
        <v>0.0</v>
      </c>
      <c r="X23" s="20">
        <f t="shared" ref="X23:Z23" si="1319">W23</f>
        <v>0</v>
      </c>
      <c r="Y23" s="20">
        <f t="shared" si="1319"/>
        <v>0</v>
      </c>
      <c r="Z23" s="21">
        <f t="shared" si="1319"/>
        <v>0</v>
      </c>
      <c r="AA23" s="19">
        <v>0.0</v>
      </c>
      <c r="AB23" s="20">
        <f t="shared" ref="AB23:AD23" si="1320">AA23</f>
        <v>0</v>
      </c>
      <c r="AC23" s="20">
        <f t="shared" si="1320"/>
        <v>0</v>
      </c>
      <c r="AD23" s="21">
        <f t="shared" si="1320"/>
        <v>0</v>
      </c>
      <c r="AE23" s="19">
        <v>0.0</v>
      </c>
      <c r="AF23" s="20">
        <f t="shared" ref="AF23:AH23" si="1321">AE23</f>
        <v>0</v>
      </c>
      <c r="AG23" s="20">
        <f t="shared" si="1321"/>
        <v>0</v>
      </c>
      <c r="AH23" s="21">
        <f t="shared" si="1321"/>
        <v>0</v>
      </c>
      <c r="AI23" s="19">
        <v>350.0</v>
      </c>
      <c r="AJ23" s="20">
        <v>0.0</v>
      </c>
      <c r="AK23" s="20">
        <v>350.0</v>
      </c>
      <c r="AL23" s="21">
        <v>0.0</v>
      </c>
      <c r="AM23" s="19">
        <v>2500.0</v>
      </c>
      <c r="AN23" s="20">
        <f t="shared" ref="AN23:AP23" si="1322">AM23</f>
        <v>2500</v>
      </c>
      <c r="AO23" s="20">
        <f t="shared" si="1322"/>
        <v>2500</v>
      </c>
      <c r="AP23" s="21">
        <f t="shared" si="1322"/>
        <v>2500</v>
      </c>
      <c r="AQ23" s="19">
        <v>0.0</v>
      </c>
      <c r="AR23" s="20">
        <f t="shared" ref="AR23:AT23" si="1323">AQ23</f>
        <v>0</v>
      </c>
      <c r="AS23" s="20">
        <f t="shared" si="1323"/>
        <v>0</v>
      </c>
      <c r="AT23" s="21">
        <f t="shared" si="1323"/>
        <v>0</v>
      </c>
      <c r="AU23" s="19">
        <v>3200.0</v>
      </c>
      <c r="AV23" s="20">
        <f t="shared" ref="AV23:AX23" si="1324">AU23</f>
        <v>3200</v>
      </c>
      <c r="AW23" s="20">
        <f t="shared" si="1324"/>
        <v>3200</v>
      </c>
      <c r="AX23" s="21">
        <f t="shared" si="1324"/>
        <v>3200</v>
      </c>
      <c r="AY23" s="19">
        <v>0.0</v>
      </c>
      <c r="AZ23" s="20">
        <f t="shared" ref="AZ23:BB23" si="1325">AY23</f>
        <v>0</v>
      </c>
      <c r="BA23" s="20">
        <f t="shared" si="1325"/>
        <v>0</v>
      </c>
      <c r="BB23" s="21">
        <f t="shared" si="1325"/>
        <v>0</v>
      </c>
      <c r="BC23" s="19">
        <v>9000.0</v>
      </c>
      <c r="BD23" s="20">
        <f t="shared" ref="BD23:BF23" si="1326">BC23</f>
        <v>9000</v>
      </c>
      <c r="BE23" s="20">
        <f t="shared" si="1326"/>
        <v>9000</v>
      </c>
      <c r="BF23" s="21">
        <f t="shared" si="1326"/>
        <v>9000</v>
      </c>
      <c r="BG23" s="19">
        <v>0.0</v>
      </c>
      <c r="BH23" s="20">
        <f t="shared" ref="BH23:BJ23" si="1327">BG23</f>
        <v>0</v>
      </c>
      <c r="BI23" s="20">
        <f t="shared" si="1327"/>
        <v>0</v>
      </c>
      <c r="BJ23" s="21">
        <f t="shared" si="1327"/>
        <v>0</v>
      </c>
      <c r="BK23" s="19">
        <v>11500.0</v>
      </c>
      <c r="BL23" s="20">
        <f t="shared" ref="BL23:BN23" si="1328">BK23</f>
        <v>11500</v>
      </c>
      <c r="BM23" s="20">
        <f t="shared" si="1328"/>
        <v>11500</v>
      </c>
      <c r="BN23" s="21">
        <f t="shared" si="1328"/>
        <v>11500</v>
      </c>
      <c r="BO23" s="19">
        <v>0.0</v>
      </c>
      <c r="BP23" s="20">
        <f t="shared" ref="BP23:BR23" si="1329">BO23</f>
        <v>0</v>
      </c>
      <c r="BQ23" s="20">
        <f t="shared" si="1329"/>
        <v>0</v>
      </c>
      <c r="BR23" s="21">
        <f t="shared" si="1329"/>
        <v>0</v>
      </c>
      <c r="BS23" s="19">
        <v>13330.0</v>
      </c>
      <c r="BT23" s="20">
        <f t="shared" si="1253"/>
        <v>13330</v>
      </c>
      <c r="BU23" s="20">
        <v>10000.0</v>
      </c>
      <c r="BV23" s="21">
        <f>BU23</f>
        <v>10000</v>
      </c>
      <c r="BW23" s="19">
        <v>0.0</v>
      </c>
      <c r="BX23" s="20">
        <f t="shared" ref="BX23:BZ23" si="1330">BW23</f>
        <v>0</v>
      </c>
      <c r="BY23" s="20">
        <f t="shared" si="1330"/>
        <v>0</v>
      </c>
      <c r="BZ23" s="21">
        <f t="shared" si="1330"/>
        <v>0</v>
      </c>
      <c r="CA23" s="19">
        <v>3300.0</v>
      </c>
      <c r="CB23" s="20">
        <f t="shared" ref="CB23:CD23" si="1331">CA23</f>
        <v>3300</v>
      </c>
      <c r="CC23" s="20">
        <f t="shared" si="1331"/>
        <v>3300</v>
      </c>
      <c r="CD23" s="21">
        <f t="shared" si="1331"/>
        <v>3300</v>
      </c>
      <c r="CE23" s="19">
        <v>500.0</v>
      </c>
      <c r="CF23" s="20">
        <f t="shared" ref="CF23:CH23" si="1332">CE23</f>
        <v>500</v>
      </c>
      <c r="CG23" s="20">
        <f t="shared" si="1332"/>
        <v>500</v>
      </c>
      <c r="CH23" s="21">
        <f t="shared" si="1332"/>
        <v>500</v>
      </c>
      <c r="CI23" s="19">
        <v>0.0</v>
      </c>
      <c r="CJ23" s="20">
        <f t="shared" ref="CJ23:CL23" si="1333">CI23</f>
        <v>0</v>
      </c>
      <c r="CK23" s="20">
        <f t="shared" si="1333"/>
        <v>0</v>
      </c>
      <c r="CL23" s="21">
        <f t="shared" si="1333"/>
        <v>0</v>
      </c>
      <c r="CM23" s="19">
        <v>120.0</v>
      </c>
      <c r="CN23" s="20">
        <f t="shared" ref="CN23:CP23" si="1334">CM23</f>
        <v>120</v>
      </c>
      <c r="CO23" s="20">
        <f t="shared" si="1334"/>
        <v>120</v>
      </c>
      <c r="CP23" s="21">
        <f t="shared" si="1334"/>
        <v>120</v>
      </c>
      <c r="CQ23" s="19">
        <v>0.0</v>
      </c>
      <c r="CR23" s="20">
        <f t="shared" ref="CR23:CT23" si="1335">CQ23</f>
        <v>0</v>
      </c>
      <c r="CS23" s="20">
        <f t="shared" si="1335"/>
        <v>0</v>
      </c>
      <c r="CT23" s="21">
        <f t="shared" si="1335"/>
        <v>0</v>
      </c>
      <c r="CU23" s="19">
        <v>500.0</v>
      </c>
      <c r="CV23" s="20">
        <f t="shared" si="1261"/>
        <v>500</v>
      </c>
      <c r="CW23" s="20">
        <f t="shared" ref="CW23:CX23" si="1336">CV23</f>
        <v>500</v>
      </c>
      <c r="CX23" s="21">
        <f t="shared" si="1336"/>
        <v>500</v>
      </c>
      <c r="CY23" s="19">
        <v>0.0</v>
      </c>
      <c r="CZ23" s="20">
        <f t="shared" ref="CZ23:DB23" si="1337">CY23</f>
        <v>0</v>
      </c>
      <c r="DA23" s="20">
        <f t="shared" si="1337"/>
        <v>0</v>
      </c>
      <c r="DB23" s="21">
        <f t="shared" si="1337"/>
        <v>0</v>
      </c>
      <c r="DC23" s="19">
        <v>5000.0</v>
      </c>
      <c r="DD23" s="20">
        <v>5000.0</v>
      </c>
      <c r="DE23" s="20">
        <f t="shared" ref="DE23:DF23" si="1338">DD23</f>
        <v>5000</v>
      </c>
      <c r="DF23" s="21">
        <f t="shared" si="1338"/>
        <v>5000</v>
      </c>
      <c r="DG23" s="19">
        <v>0.0</v>
      </c>
      <c r="DH23" s="20">
        <f t="shared" ref="DH23:DJ23" si="1339">DG23</f>
        <v>0</v>
      </c>
      <c r="DI23" s="20">
        <f t="shared" si="1339"/>
        <v>0</v>
      </c>
      <c r="DJ23" s="21">
        <f t="shared" si="1339"/>
        <v>0</v>
      </c>
      <c r="DK23" s="19">
        <v>2000.0</v>
      </c>
      <c r="DL23" s="20">
        <f t="shared" ref="DL23:DN23" si="1340">DK23</f>
        <v>2000</v>
      </c>
      <c r="DM23" s="20">
        <f t="shared" si="1340"/>
        <v>2000</v>
      </c>
      <c r="DN23" s="21">
        <f t="shared" si="1340"/>
        <v>2000</v>
      </c>
      <c r="DO23" s="19">
        <v>0.0</v>
      </c>
      <c r="DP23" s="20">
        <f t="shared" ref="DP23:DR23" si="1341">DO23</f>
        <v>0</v>
      </c>
      <c r="DQ23" s="20">
        <f t="shared" si="1341"/>
        <v>0</v>
      </c>
      <c r="DR23" s="21">
        <f t="shared" si="1341"/>
        <v>0</v>
      </c>
      <c r="DS23" s="19">
        <v>2000.0</v>
      </c>
      <c r="DT23" s="20">
        <f t="shared" ref="DT23:DV23" si="1342">DS23</f>
        <v>2000</v>
      </c>
      <c r="DU23" s="20">
        <f t="shared" si="1342"/>
        <v>2000</v>
      </c>
      <c r="DV23" s="21">
        <f t="shared" si="1342"/>
        <v>2000</v>
      </c>
      <c r="DW23" s="19">
        <v>2500.0</v>
      </c>
      <c r="DX23" s="20">
        <f t="shared" ref="DX23:DZ23" si="1343">DW23</f>
        <v>2500</v>
      </c>
      <c r="DY23" s="20">
        <f t="shared" si="1343"/>
        <v>2500</v>
      </c>
      <c r="DZ23" s="21">
        <f t="shared" si="1343"/>
        <v>2500</v>
      </c>
      <c r="EA23" s="19">
        <v>0.0</v>
      </c>
      <c r="EB23" s="20">
        <f t="shared" si="1271"/>
        <v>0</v>
      </c>
      <c r="EC23" s="20">
        <f t="shared" ref="EC23:ED23" si="1344">EB23</f>
        <v>0</v>
      </c>
      <c r="ED23" s="21">
        <f t="shared" si="1344"/>
        <v>0</v>
      </c>
      <c r="EE23" s="19">
        <v>0.0</v>
      </c>
      <c r="EF23" s="20">
        <f t="shared" ref="EF23:EH23" si="1345">EE23</f>
        <v>0</v>
      </c>
      <c r="EG23" s="20">
        <f t="shared" si="1345"/>
        <v>0</v>
      </c>
      <c r="EH23" s="21">
        <f t="shared" si="1345"/>
        <v>0</v>
      </c>
      <c r="EI23" s="19">
        <v>0.0</v>
      </c>
      <c r="EJ23" s="21">
        <f t="shared" ref="EJ23:EK23" si="1346">EI23</f>
        <v>0</v>
      </c>
      <c r="EK23" s="21">
        <f t="shared" si="1346"/>
        <v>0</v>
      </c>
      <c r="EL23" s="21">
        <f t="shared" si="797"/>
        <v>0</v>
      </c>
      <c r="EM23" s="19">
        <v>7500.0</v>
      </c>
      <c r="EN23" s="20">
        <f t="shared" ref="EN23:EO23" si="1347">EM23</f>
        <v>7500</v>
      </c>
      <c r="EO23" s="20">
        <f t="shared" si="1347"/>
        <v>7500</v>
      </c>
      <c r="EP23" s="21">
        <f>EO23-2500</f>
        <v>5000</v>
      </c>
      <c r="EQ23" s="19">
        <v>8000.0</v>
      </c>
      <c r="ER23" s="20">
        <f t="shared" ref="ER23:ET23" si="1348">EQ23</f>
        <v>8000</v>
      </c>
      <c r="ES23" s="20">
        <f t="shared" si="1348"/>
        <v>8000</v>
      </c>
      <c r="ET23" s="21">
        <f t="shared" si="1348"/>
        <v>8000</v>
      </c>
      <c r="EU23" s="19">
        <v>0.0</v>
      </c>
      <c r="EV23" s="20">
        <f t="shared" ref="EV23:EX23" si="1349">EU23</f>
        <v>0</v>
      </c>
      <c r="EW23" s="20">
        <f t="shared" si="1349"/>
        <v>0</v>
      </c>
      <c r="EX23" s="21">
        <f t="shared" si="1349"/>
        <v>0</v>
      </c>
      <c r="EY23" s="19">
        <v>500.0</v>
      </c>
      <c r="EZ23" s="20">
        <f t="shared" ref="EZ23:FB23" si="1350">EY23</f>
        <v>500</v>
      </c>
      <c r="FA23" s="20">
        <f t="shared" si="1350"/>
        <v>500</v>
      </c>
      <c r="FB23" s="21">
        <f t="shared" si="1350"/>
        <v>500</v>
      </c>
      <c r="FC23" s="19">
        <v>0.0</v>
      </c>
      <c r="FD23" s="20">
        <f t="shared" ref="FD23:FF23" si="1351">FC23</f>
        <v>0</v>
      </c>
      <c r="FE23" s="20">
        <f t="shared" si="1351"/>
        <v>0</v>
      </c>
      <c r="FF23" s="21">
        <f t="shared" si="1351"/>
        <v>0</v>
      </c>
      <c r="FG23" s="19">
        <v>0.0</v>
      </c>
      <c r="FH23" s="20">
        <f t="shared" ref="FH23:FJ23" si="1352">FG23</f>
        <v>0</v>
      </c>
      <c r="FI23" s="20">
        <f t="shared" si="1352"/>
        <v>0</v>
      </c>
      <c r="FJ23" s="21">
        <f t="shared" si="1352"/>
        <v>0</v>
      </c>
      <c r="FK23" s="19">
        <v>0.0</v>
      </c>
      <c r="FL23" s="20">
        <f t="shared" ref="FL23:FN23" si="1353">FK23</f>
        <v>0</v>
      </c>
      <c r="FM23" s="20">
        <f t="shared" si="1353"/>
        <v>0</v>
      </c>
      <c r="FN23" s="21">
        <f t="shared" si="1353"/>
        <v>0</v>
      </c>
      <c r="FO23" s="19">
        <v>0.0</v>
      </c>
      <c r="FP23" s="20">
        <f t="shared" ref="FP23:FR23" si="1354">FO23</f>
        <v>0</v>
      </c>
      <c r="FQ23" s="20">
        <f t="shared" si="1354"/>
        <v>0</v>
      </c>
      <c r="FR23" s="21">
        <f t="shared" si="1354"/>
        <v>0</v>
      </c>
      <c r="FS23" s="19">
        <v>0.0</v>
      </c>
      <c r="FT23" s="20">
        <f t="shared" ref="FT23:FV23" si="1355">FS23</f>
        <v>0</v>
      </c>
      <c r="FU23" s="20">
        <f t="shared" si="1355"/>
        <v>0</v>
      </c>
      <c r="FV23" s="21">
        <f t="shared" si="1355"/>
        <v>0</v>
      </c>
      <c r="FW23" s="19">
        <v>500.0</v>
      </c>
      <c r="FX23" s="20">
        <f t="shared" si="1284"/>
        <v>500</v>
      </c>
      <c r="FY23" s="20">
        <f t="shared" ref="FY23:FZ23" si="1356">FX23</f>
        <v>500</v>
      </c>
      <c r="FZ23" s="21">
        <f t="shared" si="1356"/>
        <v>500</v>
      </c>
      <c r="GA23" s="19">
        <v>0.0</v>
      </c>
      <c r="GB23" s="20">
        <f t="shared" si="1286"/>
        <v>0</v>
      </c>
      <c r="GC23" s="20">
        <f t="shared" ref="GC23:GD23" si="1357">GB23</f>
        <v>0</v>
      </c>
      <c r="GD23" s="21">
        <f t="shared" si="1357"/>
        <v>0</v>
      </c>
      <c r="GE23" s="19">
        <v>1000.0</v>
      </c>
      <c r="GF23" s="20">
        <f t="shared" ref="GF23:GH23" si="1358">GE23</f>
        <v>1000</v>
      </c>
      <c r="GG23" s="20">
        <f t="shared" si="1358"/>
        <v>1000</v>
      </c>
      <c r="GH23" s="21">
        <f t="shared" si="1358"/>
        <v>1000</v>
      </c>
      <c r="GI23" s="19">
        <v>300.0</v>
      </c>
      <c r="GJ23" s="20">
        <f t="shared" ref="GJ23:GL23" si="1359">GI23</f>
        <v>300</v>
      </c>
      <c r="GK23" s="20">
        <f t="shared" si="1359"/>
        <v>300</v>
      </c>
      <c r="GL23" s="20">
        <f t="shared" si="1359"/>
        <v>300</v>
      </c>
      <c r="GM23" s="22">
        <v>0.0</v>
      </c>
      <c r="GN23" s="20">
        <f t="shared" ref="GN23:GP23" si="1360">GM23</f>
        <v>0</v>
      </c>
      <c r="GO23" s="20">
        <f t="shared" si="1360"/>
        <v>0</v>
      </c>
      <c r="GP23" s="21">
        <f t="shared" si="1360"/>
        <v>0</v>
      </c>
      <c r="GQ23" s="19">
        <v>4000.0</v>
      </c>
      <c r="GR23" s="20">
        <f t="shared" ref="GR23:GS23" si="1361">GQ23</f>
        <v>4000</v>
      </c>
      <c r="GS23" s="20">
        <f t="shared" si="1361"/>
        <v>4000</v>
      </c>
      <c r="GT23" s="21">
        <f>GS23+5000</f>
        <v>9000</v>
      </c>
      <c r="GU23" s="19">
        <v>0.0</v>
      </c>
      <c r="GV23" s="20">
        <f t="shared" ref="GV23:GV27" si="1427">GU23</f>
        <v>0</v>
      </c>
      <c r="GW23" s="20">
        <v>200.0</v>
      </c>
      <c r="GX23" s="21">
        <v>0.0</v>
      </c>
      <c r="GY23" s="19">
        <v>0.0</v>
      </c>
      <c r="GZ23" s="20">
        <f t="shared" ref="GZ23:HB23" si="1362">GY23</f>
        <v>0</v>
      </c>
      <c r="HA23" s="20">
        <f t="shared" si="1362"/>
        <v>0</v>
      </c>
      <c r="HB23" s="21">
        <f t="shared" si="1362"/>
        <v>0</v>
      </c>
      <c r="HC23" s="19">
        <v>0.0</v>
      </c>
      <c r="HD23" s="20">
        <f t="shared" ref="HD23:HD36" si="1430">HC23</f>
        <v>0</v>
      </c>
      <c r="HE23" s="20">
        <v>300.0</v>
      </c>
      <c r="HF23" s="21">
        <f>HE23</f>
        <v>300</v>
      </c>
      <c r="HG23" s="19">
        <v>0.0</v>
      </c>
      <c r="HH23" s="20">
        <f t="shared" ref="HH23:HJ23" si="1363">HG23</f>
        <v>0</v>
      </c>
      <c r="HI23" s="20">
        <f t="shared" si="1363"/>
        <v>0</v>
      </c>
      <c r="HJ23" s="21">
        <f t="shared" si="1363"/>
        <v>0</v>
      </c>
      <c r="HK23" s="19">
        <v>0.0</v>
      </c>
      <c r="HL23" s="20">
        <f t="shared" ref="HL23:HN23" si="1364">HK23</f>
        <v>0</v>
      </c>
      <c r="HM23" s="20">
        <f t="shared" si="1364"/>
        <v>0</v>
      </c>
      <c r="HN23" s="21">
        <f t="shared" si="1364"/>
        <v>0</v>
      </c>
      <c r="HO23" s="19">
        <v>0.0</v>
      </c>
      <c r="HP23" s="20">
        <f t="shared" ref="HP23:HR23" si="1365">HO23</f>
        <v>0</v>
      </c>
      <c r="HQ23" s="20">
        <f t="shared" si="1365"/>
        <v>0</v>
      </c>
      <c r="HR23" s="21">
        <f t="shared" si="1365"/>
        <v>0</v>
      </c>
      <c r="HS23" s="19">
        <v>0.0</v>
      </c>
      <c r="HT23" s="20">
        <f t="shared" ref="HT23:HV23" si="1366">HS23</f>
        <v>0</v>
      </c>
      <c r="HU23" s="20">
        <f t="shared" si="1366"/>
        <v>0</v>
      </c>
      <c r="HV23" s="21">
        <f t="shared" si="1366"/>
        <v>0</v>
      </c>
      <c r="HW23" s="19">
        <v>2000.0</v>
      </c>
      <c r="HX23" s="20">
        <f t="shared" ref="HX23:HZ23" si="1367">HW23</f>
        <v>2000</v>
      </c>
      <c r="HY23" s="20">
        <f t="shared" si="1367"/>
        <v>2000</v>
      </c>
      <c r="HZ23" s="21">
        <f t="shared" si="1367"/>
        <v>2000</v>
      </c>
      <c r="IA23" s="19">
        <v>300.0</v>
      </c>
      <c r="IB23" s="20">
        <f t="shared" ref="IB23:ID23" si="1368">IA23</f>
        <v>300</v>
      </c>
      <c r="IC23" s="20">
        <f t="shared" si="1368"/>
        <v>300</v>
      </c>
      <c r="ID23" s="21">
        <f t="shared" si="1368"/>
        <v>300</v>
      </c>
      <c r="IE23" s="19">
        <v>0.0</v>
      </c>
      <c r="IF23" s="20">
        <f t="shared" ref="IF23:IH23" si="1369">IE23</f>
        <v>0</v>
      </c>
      <c r="IG23" s="20">
        <f t="shared" si="1369"/>
        <v>0</v>
      </c>
      <c r="IH23" s="21">
        <f t="shared" si="1369"/>
        <v>0</v>
      </c>
      <c r="II23" s="19">
        <v>0.0</v>
      </c>
      <c r="IJ23" s="20">
        <f t="shared" ref="IJ23:IL23" si="1370">II23</f>
        <v>0</v>
      </c>
      <c r="IK23" s="20">
        <f t="shared" si="1370"/>
        <v>0</v>
      </c>
      <c r="IL23" s="20">
        <f t="shared" si="1370"/>
        <v>0</v>
      </c>
      <c r="IM23" s="35">
        <v>0.0</v>
      </c>
      <c r="IN23" s="20">
        <f t="shared" ref="IN23:IP23" si="1371">IM23</f>
        <v>0</v>
      </c>
      <c r="IO23" s="20">
        <f t="shared" si="1371"/>
        <v>0</v>
      </c>
      <c r="IP23" s="21">
        <f t="shared" si="1371"/>
        <v>0</v>
      </c>
      <c r="IQ23" s="19">
        <v>0.0</v>
      </c>
      <c r="IR23" s="20">
        <f t="shared" ref="IR23:IT23" si="1372">IQ23</f>
        <v>0</v>
      </c>
      <c r="IS23" s="20">
        <f t="shared" si="1372"/>
        <v>0</v>
      </c>
      <c r="IT23" s="21">
        <f t="shared" si="1372"/>
        <v>0</v>
      </c>
      <c r="IU23" s="19">
        <v>2000.0</v>
      </c>
      <c r="IV23" s="20">
        <f t="shared" si="1305"/>
        <v>2000</v>
      </c>
      <c r="IW23" s="20">
        <v>1000.0</v>
      </c>
      <c r="IX23" s="21">
        <f>IW23</f>
        <v>1000</v>
      </c>
      <c r="IY23" s="19">
        <v>0.0</v>
      </c>
      <c r="IZ23" s="20">
        <f t="shared" ref="IZ23:JB23" si="1373">IY23</f>
        <v>0</v>
      </c>
      <c r="JA23" s="20">
        <f t="shared" si="1373"/>
        <v>0</v>
      </c>
      <c r="JB23" s="21">
        <f t="shared" si="1373"/>
        <v>0</v>
      </c>
      <c r="JC23" s="19">
        <v>1000.0</v>
      </c>
      <c r="JD23" s="20">
        <f t="shared" ref="JD23:JF23" si="1374">JC23</f>
        <v>1000</v>
      </c>
      <c r="JE23" s="20">
        <f t="shared" si="1374"/>
        <v>1000</v>
      </c>
      <c r="JF23" s="20">
        <f t="shared" si="1374"/>
        <v>1000</v>
      </c>
      <c r="JG23" s="19">
        <v>0.0</v>
      </c>
      <c r="JH23" s="20">
        <f t="shared" ref="JH23:JJ23" si="1375">JG23</f>
        <v>0</v>
      </c>
      <c r="JI23" s="20">
        <f t="shared" si="1375"/>
        <v>0</v>
      </c>
      <c r="JJ23" s="21">
        <f t="shared" si="1375"/>
        <v>0</v>
      </c>
      <c r="JK23" s="19">
        <v>0.0</v>
      </c>
      <c r="JL23" s="20">
        <f t="shared" ref="JL23:JN23" si="1376">JK23</f>
        <v>0</v>
      </c>
      <c r="JM23" s="20">
        <f t="shared" si="1376"/>
        <v>0</v>
      </c>
      <c r="JN23" s="21">
        <f t="shared" si="1376"/>
        <v>0</v>
      </c>
      <c r="JO23" s="19">
        <v>0.0</v>
      </c>
      <c r="JP23" s="20">
        <f t="shared" ref="JP23:JR23" si="1377">JO23</f>
        <v>0</v>
      </c>
      <c r="JQ23" s="20">
        <f t="shared" si="1377"/>
        <v>0</v>
      </c>
      <c r="JR23" s="21">
        <f t="shared" si="1377"/>
        <v>0</v>
      </c>
      <c r="JS23" s="19">
        <v>0.0</v>
      </c>
      <c r="JT23" s="20">
        <f t="shared" ref="JT23:JV23" si="1378">JS23</f>
        <v>0</v>
      </c>
      <c r="JU23" s="20">
        <f t="shared" si="1378"/>
        <v>0</v>
      </c>
      <c r="JV23" s="21">
        <f t="shared" si="1378"/>
        <v>0</v>
      </c>
      <c r="JW23" s="19">
        <v>0.0</v>
      </c>
      <c r="JX23" s="20">
        <f t="shared" ref="JX23:JZ23" si="1379">JW23</f>
        <v>0</v>
      </c>
      <c r="JY23" s="20">
        <f t="shared" si="1379"/>
        <v>0</v>
      </c>
      <c r="JZ23" s="21">
        <f t="shared" si="1379"/>
        <v>0</v>
      </c>
    </row>
    <row r="24" ht="15.75" customHeight="1">
      <c r="A24" s="24" t="s">
        <v>102</v>
      </c>
      <c r="B24" s="18"/>
      <c r="C24" s="19">
        <v>12000.0</v>
      </c>
      <c r="D24" s="20">
        <v>11000.0</v>
      </c>
      <c r="E24" s="20">
        <f t="shared" ref="E24:F24" si="1380">D24</f>
        <v>11000</v>
      </c>
      <c r="F24" s="21">
        <f t="shared" si="1380"/>
        <v>11000</v>
      </c>
      <c r="G24" s="19">
        <v>0.0</v>
      </c>
      <c r="H24" s="20">
        <f t="shared" ref="H24:J24" si="1381">G24</f>
        <v>0</v>
      </c>
      <c r="I24" s="20">
        <f t="shared" si="1381"/>
        <v>0</v>
      </c>
      <c r="J24" s="21">
        <f t="shared" si="1381"/>
        <v>0</v>
      </c>
      <c r="K24" s="19">
        <v>0.0</v>
      </c>
      <c r="L24" s="20">
        <f t="shared" ref="L24:N24" si="1382">K24</f>
        <v>0</v>
      </c>
      <c r="M24" s="20">
        <f t="shared" si="1382"/>
        <v>0</v>
      </c>
      <c r="N24" s="21">
        <f t="shared" si="1382"/>
        <v>0</v>
      </c>
      <c r="O24" s="19">
        <v>0.0</v>
      </c>
      <c r="P24" s="20">
        <f t="shared" ref="P24:R24" si="1383">O24</f>
        <v>0</v>
      </c>
      <c r="Q24" s="20">
        <f t="shared" si="1383"/>
        <v>0</v>
      </c>
      <c r="R24" s="21">
        <f t="shared" si="1383"/>
        <v>0</v>
      </c>
      <c r="S24" s="19">
        <v>3000.0</v>
      </c>
      <c r="T24" s="20">
        <f t="shared" ref="T24:V24" si="1384">S24</f>
        <v>3000</v>
      </c>
      <c r="U24" s="20">
        <f t="shared" si="1384"/>
        <v>3000</v>
      </c>
      <c r="V24" s="21">
        <f t="shared" si="1384"/>
        <v>3000</v>
      </c>
      <c r="W24" s="34">
        <v>63840.0</v>
      </c>
      <c r="X24" s="20">
        <f t="shared" ref="X24:Z24" si="1385">W24</f>
        <v>63840</v>
      </c>
      <c r="Y24" s="20">
        <f t="shared" si="1385"/>
        <v>63840</v>
      </c>
      <c r="Z24" s="21">
        <f t="shared" si="1385"/>
        <v>63840</v>
      </c>
      <c r="AA24" s="19">
        <v>0.0</v>
      </c>
      <c r="AB24" s="20">
        <f t="shared" ref="AB24:AD24" si="1386">AA24</f>
        <v>0</v>
      </c>
      <c r="AC24" s="20">
        <f t="shared" si="1386"/>
        <v>0</v>
      </c>
      <c r="AD24" s="21">
        <f t="shared" si="1386"/>
        <v>0</v>
      </c>
      <c r="AE24" s="19">
        <v>0.0</v>
      </c>
      <c r="AF24" s="20">
        <f t="shared" ref="AF24:AH24" si="1387">AE24</f>
        <v>0</v>
      </c>
      <c r="AG24" s="20">
        <f t="shared" si="1387"/>
        <v>0</v>
      </c>
      <c r="AH24" s="21">
        <f t="shared" si="1387"/>
        <v>0</v>
      </c>
      <c r="AI24" s="19">
        <v>0.0</v>
      </c>
      <c r="AJ24" s="20">
        <f t="shared" ref="AJ24:AL24" si="1388">AI24</f>
        <v>0</v>
      </c>
      <c r="AK24" s="20">
        <f t="shared" si="1388"/>
        <v>0</v>
      </c>
      <c r="AL24" s="21">
        <f t="shared" si="1388"/>
        <v>0</v>
      </c>
      <c r="AM24" s="19">
        <v>11700.0</v>
      </c>
      <c r="AN24" s="20">
        <f t="shared" ref="AN24:AP24" si="1389">AM24</f>
        <v>11700</v>
      </c>
      <c r="AO24" s="20">
        <f t="shared" si="1389"/>
        <v>11700</v>
      </c>
      <c r="AP24" s="21">
        <f t="shared" si="1389"/>
        <v>11700</v>
      </c>
      <c r="AQ24" s="19">
        <v>0.0</v>
      </c>
      <c r="AR24" s="20">
        <f t="shared" ref="AR24:AT24" si="1390">AQ24</f>
        <v>0</v>
      </c>
      <c r="AS24" s="20">
        <f t="shared" si="1390"/>
        <v>0</v>
      </c>
      <c r="AT24" s="21">
        <f t="shared" si="1390"/>
        <v>0</v>
      </c>
      <c r="AU24" s="19">
        <v>2500.0</v>
      </c>
      <c r="AV24" s="20">
        <f t="shared" ref="AV24:AX24" si="1391">AU24</f>
        <v>2500</v>
      </c>
      <c r="AW24" s="20">
        <f t="shared" si="1391"/>
        <v>2500</v>
      </c>
      <c r="AX24" s="21">
        <f t="shared" si="1391"/>
        <v>2500</v>
      </c>
      <c r="AY24" s="19">
        <v>0.0</v>
      </c>
      <c r="AZ24" s="20">
        <f t="shared" ref="AZ24:BB24" si="1392">AY24</f>
        <v>0</v>
      </c>
      <c r="BA24" s="20">
        <f t="shared" si="1392"/>
        <v>0</v>
      </c>
      <c r="BB24" s="21">
        <f t="shared" si="1392"/>
        <v>0</v>
      </c>
      <c r="BC24" s="19">
        <v>29000.0</v>
      </c>
      <c r="BD24" s="20">
        <f t="shared" ref="BD24:BF24" si="1393">BC24</f>
        <v>29000</v>
      </c>
      <c r="BE24" s="20">
        <f t="shared" si="1393"/>
        <v>29000</v>
      </c>
      <c r="BF24" s="21">
        <f t="shared" si="1393"/>
        <v>29000</v>
      </c>
      <c r="BG24" s="19">
        <v>20000.0</v>
      </c>
      <c r="BH24" s="20">
        <v>0.0</v>
      </c>
      <c r="BI24" s="20">
        <f t="shared" ref="BI24:BI26" si="1464">BH24</f>
        <v>0</v>
      </c>
      <c r="BJ24" s="21">
        <v>20000.0</v>
      </c>
      <c r="BK24" s="19">
        <v>500.0</v>
      </c>
      <c r="BL24" s="20">
        <f t="shared" ref="BL24:BN24" si="1394">BK24</f>
        <v>500</v>
      </c>
      <c r="BM24" s="20">
        <f t="shared" si="1394"/>
        <v>500</v>
      </c>
      <c r="BN24" s="21">
        <f t="shared" si="1394"/>
        <v>500</v>
      </c>
      <c r="BO24" s="19">
        <v>0.0</v>
      </c>
      <c r="BP24" s="20">
        <f t="shared" ref="BP24:BR24" si="1395">BO24</f>
        <v>0</v>
      </c>
      <c r="BQ24" s="20">
        <f t="shared" si="1395"/>
        <v>0</v>
      </c>
      <c r="BR24" s="21">
        <f t="shared" si="1395"/>
        <v>0</v>
      </c>
      <c r="BS24" s="19">
        <v>0.0</v>
      </c>
      <c r="BT24" s="20">
        <f t="shared" si="1253"/>
        <v>0</v>
      </c>
      <c r="BU24" s="20">
        <f t="shared" ref="BU24:BV24" si="1396">BT24</f>
        <v>0</v>
      </c>
      <c r="BV24" s="21">
        <f t="shared" si="1396"/>
        <v>0</v>
      </c>
      <c r="BW24" s="19">
        <v>0.0</v>
      </c>
      <c r="BX24" s="20">
        <f t="shared" ref="BX24:BZ24" si="1397">BW24</f>
        <v>0</v>
      </c>
      <c r="BY24" s="20">
        <f t="shared" si="1397"/>
        <v>0</v>
      </c>
      <c r="BZ24" s="21">
        <f t="shared" si="1397"/>
        <v>0</v>
      </c>
      <c r="CA24" s="19">
        <v>0.0</v>
      </c>
      <c r="CB24" s="20">
        <f t="shared" ref="CB24:CD24" si="1398">CA24</f>
        <v>0</v>
      </c>
      <c r="CC24" s="20">
        <f t="shared" si="1398"/>
        <v>0</v>
      </c>
      <c r="CD24" s="21">
        <f t="shared" si="1398"/>
        <v>0</v>
      </c>
      <c r="CE24" s="19">
        <v>0.0</v>
      </c>
      <c r="CF24" s="20">
        <f t="shared" ref="CF24:CH24" si="1399">CE24</f>
        <v>0</v>
      </c>
      <c r="CG24" s="20">
        <f t="shared" si="1399"/>
        <v>0</v>
      </c>
      <c r="CH24" s="21">
        <f t="shared" si="1399"/>
        <v>0</v>
      </c>
      <c r="CI24" s="19">
        <v>0.0</v>
      </c>
      <c r="CJ24" s="20">
        <f t="shared" ref="CJ24:CL24" si="1400">CI24</f>
        <v>0</v>
      </c>
      <c r="CK24" s="20">
        <f t="shared" si="1400"/>
        <v>0</v>
      </c>
      <c r="CL24" s="21">
        <f t="shared" si="1400"/>
        <v>0</v>
      </c>
      <c r="CM24" s="19">
        <v>0.0</v>
      </c>
      <c r="CN24" s="20">
        <f t="shared" ref="CN24:CP24" si="1401">CM24</f>
        <v>0</v>
      </c>
      <c r="CO24" s="20">
        <f t="shared" si="1401"/>
        <v>0</v>
      </c>
      <c r="CP24" s="21">
        <f t="shared" si="1401"/>
        <v>0</v>
      </c>
      <c r="CQ24" s="19">
        <v>0.0</v>
      </c>
      <c r="CR24" s="20">
        <f t="shared" ref="CR24:CT24" si="1402">CQ24</f>
        <v>0</v>
      </c>
      <c r="CS24" s="20">
        <f t="shared" si="1402"/>
        <v>0</v>
      </c>
      <c r="CT24" s="21">
        <f t="shared" si="1402"/>
        <v>0</v>
      </c>
      <c r="CU24" s="19">
        <v>1000.0</v>
      </c>
      <c r="CV24" s="20">
        <f t="shared" si="1261"/>
        <v>1000</v>
      </c>
      <c r="CW24" s="20">
        <v>0.0</v>
      </c>
      <c r="CX24" s="21">
        <f t="shared" ref="CX24:CX25" si="1474">CW24</f>
        <v>0</v>
      </c>
      <c r="CY24" s="19">
        <v>0.0</v>
      </c>
      <c r="CZ24" s="20">
        <f t="shared" ref="CZ24:DB24" si="1403">CY24</f>
        <v>0</v>
      </c>
      <c r="DA24" s="20">
        <f t="shared" si="1403"/>
        <v>0</v>
      </c>
      <c r="DB24" s="21">
        <f t="shared" si="1403"/>
        <v>0</v>
      </c>
      <c r="DC24" s="19">
        <v>0.0</v>
      </c>
      <c r="DD24" s="20">
        <f t="shared" ref="DD24:DF24" si="1404">DC24</f>
        <v>0</v>
      </c>
      <c r="DE24" s="20">
        <f t="shared" si="1404"/>
        <v>0</v>
      </c>
      <c r="DF24" s="21">
        <f t="shared" si="1404"/>
        <v>0</v>
      </c>
      <c r="DG24" s="19">
        <v>31000.0</v>
      </c>
      <c r="DH24" s="20">
        <f t="shared" ref="DH24:DJ24" si="1405">DG24</f>
        <v>31000</v>
      </c>
      <c r="DI24" s="20">
        <f t="shared" si="1405"/>
        <v>31000</v>
      </c>
      <c r="DJ24" s="21">
        <f t="shared" si="1405"/>
        <v>31000</v>
      </c>
      <c r="DK24" s="19">
        <v>20000.0</v>
      </c>
      <c r="DL24" s="20">
        <f t="shared" ref="DL24:DN24" si="1406">DK24</f>
        <v>20000</v>
      </c>
      <c r="DM24" s="20">
        <f t="shared" si="1406"/>
        <v>20000</v>
      </c>
      <c r="DN24" s="21">
        <f t="shared" si="1406"/>
        <v>20000</v>
      </c>
      <c r="DO24" s="19">
        <v>0.0</v>
      </c>
      <c r="DP24" s="20">
        <f t="shared" ref="DP24:DR24" si="1407">DO24</f>
        <v>0</v>
      </c>
      <c r="DQ24" s="20">
        <f t="shared" si="1407"/>
        <v>0</v>
      </c>
      <c r="DR24" s="21">
        <f t="shared" si="1407"/>
        <v>0</v>
      </c>
      <c r="DS24" s="19">
        <v>3500.0</v>
      </c>
      <c r="DT24" s="20">
        <f t="shared" ref="DT24:DV24" si="1408">DS24</f>
        <v>3500</v>
      </c>
      <c r="DU24" s="20">
        <f t="shared" si="1408"/>
        <v>3500</v>
      </c>
      <c r="DV24" s="21">
        <f t="shared" si="1408"/>
        <v>3500</v>
      </c>
      <c r="DW24" s="19">
        <v>0.0</v>
      </c>
      <c r="DX24" s="20">
        <f t="shared" ref="DX24:DZ24" si="1409">DW24</f>
        <v>0</v>
      </c>
      <c r="DY24" s="20">
        <f t="shared" si="1409"/>
        <v>0</v>
      </c>
      <c r="DZ24" s="21">
        <f t="shared" si="1409"/>
        <v>0</v>
      </c>
      <c r="EA24" s="19">
        <v>0.0</v>
      </c>
      <c r="EB24" s="20">
        <f t="shared" si="1271"/>
        <v>0</v>
      </c>
      <c r="EC24" s="20">
        <f t="shared" ref="EC24:ED24" si="1410">EB24</f>
        <v>0</v>
      </c>
      <c r="ED24" s="21">
        <f t="shared" si="1410"/>
        <v>0</v>
      </c>
      <c r="EE24" s="19">
        <v>0.0</v>
      </c>
      <c r="EF24" s="20">
        <f t="shared" ref="EF24:EH24" si="1411">EE24</f>
        <v>0</v>
      </c>
      <c r="EG24" s="20">
        <f t="shared" si="1411"/>
        <v>0</v>
      </c>
      <c r="EH24" s="21">
        <f t="shared" si="1411"/>
        <v>0</v>
      </c>
      <c r="EI24" s="19">
        <v>0.0</v>
      </c>
      <c r="EJ24" s="21">
        <f t="shared" ref="EJ24:EK24" si="1412">EI24</f>
        <v>0</v>
      </c>
      <c r="EK24" s="21">
        <f t="shared" si="1412"/>
        <v>0</v>
      </c>
      <c r="EL24" s="21">
        <f t="shared" si="797"/>
        <v>0</v>
      </c>
      <c r="EM24" s="19">
        <v>500.0</v>
      </c>
      <c r="EN24" s="20">
        <f t="shared" ref="EN24:EP24" si="1413">EM24</f>
        <v>500</v>
      </c>
      <c r="EO24" s="20">
        <f t="shared" si="1413"/>
        <v>500</v>
      </c>
      <c r="EP24" s="21">
        <f t="shared" si="1413"/>
        <v>500</v>
      </c>
      <c r="EQ24" s="19">
        <v>4500.0</v>
      </c>
      <c r="ER24" s="20">
        <f t="shared" ref="ER24:ET24" si="1414">EQ24</f>
        <v>4500</v>
      </c>
      <c r="ES24" s="20">
        <f t="shared" si="1414"/>
        <v>4500</v>
      </c>
      <c r="ET24" s="21">
        <f t="shared" si="1414"/>
        <v>4500</v>
      </c>
      <c r="EU24" s="19">
        <v>8600.0</v>
      </c>
      <c r="EV24" s="20">
        <v>0.0</v>
      </c>
      <c r="EW24" s="20">
        <v>8600.0</v>
      </c>
      <c r="EX24" s="21">
        <f>EW24</f>
        <v>8600</v>
      </c>
      <c r="EY24" s="19">
        <v>0.0</v>
      </c>
      <c r="EZ24" s="20">
        <f t="shared" ref="EZ24:FB24" si="1415">EY24</f>
        <v>0</v>
      </c>
      <c r="FA24" s="20">
        <f t="shared" si="1415"/>
        <v>0</v>
      </c>
      <c r="FB24" s="21">
        <f t="shared" si="1415"/>
        <v>0</v>
      </c>
      <c r="FC24" s="19">
        <v>0.0</v>
      </c>
      <c r="FD24" s="20">
        <f t="shared" ref="FD24:FF24" si="1416">FC24</f>
        <v>0</v>
      </c>
      <c r="FE24" s="20">
        <f t="shared" si="1416"/>
        <v>0</v>
      </c>
      <c r="FF24" s="21">
        <f t="shared" si="1416"/>
        <v>0</v>
      </c>
      <c r="FG24" s="19">
        <v>0.0</v>
      </c>
      <c r="FH24" s="20">
        <f t="shared" ref="FH24:FJ24" si="1417">FG24</f>
        <v>0</v>
      </c>
      <c r="FI24" s="20">
        <f t="shared" si="1417"/>
        <v>0</v>
      </c>
      <c r="FJ24" s="21">
        <f t="shared" si="1417"/>
        <v>0</v>
      </c>
      <c r="FK24" s="19">
        <v>0.0</v>
      </c>
      <c r="FL24" s="20">
        <f t="shared" ref="FL24:FN24" si="1418">FK24</f>
        <v>0</v>
      </c>
      <c r="FM24" s="20">
        <f t="shared" si="1418"/>
        <v>0</v>
      </c>
      <c r="FN24" s="21">
        <f t="shared" si="1418"/>
        <v>0</v>
      </c>
      <c r="FO24" s="19">
        <v>0.0</v>
      </c>
      <c r="FP24" s="20">
        <f t="shared" ref="FP24:FR24" si="1419">FO24</f>
        <v>0</v>
      </c>
      <c r="FQ24" s="20">
        <f t="shared" si="1419"/>
        <v>0</v>
      </c>
      <c r="FR24" s="21">
        <f t="shared" si="1419"/>
        <v>0</v>
      </c>
      <c r="FS24" s="19">
        <v>0.0</v>
      </c>
      <c r="FT24" s="20">
        <f t="shared" ref="FT24:FV24" si="1420">FS24</f>
        <v>0</v>
      </c>
      <c r="FU24" s="20">
        <f t="shared" si="1420"/>
        <v>0</v>
      </c>
      <c r="FV24" s="21">
        <f t="shared" si="1420"/>
        <v>0</v>
      </c>
      <c r="FW24" s="19">
        <v>0.0</v>
      </c>
      <c r="FX24" s="20">
        <f t="shared" si="1284"/>
        <v>0</v>
      </c>
      <c r="FY24" s="20">
        <f t="shared" ref="FY24:FZ24" si="1421">FX24</f>
        <v>0</v>
      </c>
      <c r="FZ24" s="21">
        <f t="shared" si="1421"/>
        <v>0</v>
      </c>
      <c r="GA24" s="19">
        <v>0.0</v>
      </c>
      <c r="GB24" s="20">
        <f t="shared" si="1286"/>
        <v>0</v>
      </c>
      <c r="GC24" s="20">
        <f t="shared" ref="GC24:GD24" si="1422">GB24</f>
        <v>0</v>
      </c>
      <c r="GD24" s="21">
        <f t="shared" si="1422"/>
        <v>0</v>
      </c>
      <c r="GE24" s="19">
        <v>0.0</v>
      </c>
      <c r="GF24" s="20">
        <f t="shared" ref="GF24:GH24" si="1423">GE24</f>
        <v>0</v>
      </c>
      <c r="GG24" s="20">
        <f t="shared" si="1423"/>
        <v>0</v>
      </c>
      <c r="GH24" s="21">
        <f t="shared" si="1423"/>
        <v>0</v>
      </c>
      <c r="GI24" s="19">
        <v>0.0</v>
      </c>
      <c r="GJ24" s="20">
        <f t="shared" ref="GJ24:GL24" si="1424">GI24</f>
        <v>0</v>
      </c>
      <c r="GK24" s="20">
        <f t="shared" si="1424"/>
        <v>0</v>
      </c>
      <c r="GL24" s="20">
        <f t="shared" si="1424"/>
        <v>0</v>
      </c>
      <c r="GM24" s="22">
        <v>0.0</v>
      </c>
      <c r="GN24" s="20">
        <f t="shared" ref="GN24:GP24" si="1425">GM24</f>
        <v>0</v>
      </c>
      <c r="GO24" s="20">
        <f t="shared" si="1425"/>
        <v>0</v>
      </c>
      <c r="GP24" s="21">
        <f t="shared" si="1425"/>
        <v>0</v>
      </c>
      <c r="GQ24" s="19">
        <v>2000.0</v>
      </c>
      <c r="GR24" s="20">
        <f t="shared" ref="GR24:GT24" si="1426">GQ24</f>
        <v>2000</v>
      </c>
      <c r="GS24" s="20">
        <f t="shared" si="1426"/>
        <v>2000</v>
      </c>
      <c r="GT24" s="21">
        <f t="shared" si="1426"/>
        <v>2000</v>
      </c>
      <c r="GU24" s="19">
        <v>0.0</v>
      </c>
      <c r="GV24" s="20">
        <f t="shared" si="1427"/>
        <v>0</v>
      </c>
      <c r="GW24" s="20">
        <f t="shared" ref="GW24:GX24" si="1428">GV24</f>
        <v>0</v>
      </c>
      <c r="GX24" s="21">
        <f t="shared" si="1428"/>
        <v>0</v>
      </c>
      <c r="GY24" s="19">
        <v>0.0</v>
      </c>
      <c r="GZ24" s="20">
        <f t="shared" ref="GZ24:HB24" si="1429">GY24</f>
        <v>0</v>
      </c>
      <c r="HA24" s="20">
        <f t="shared" si="1429"/>
        <v>0</v>
      </c>
      <c r="HB24" s="21">
        <f t="shared" si="1429"/>
        <v>0</v>
      </c>
      <c r="HC24" s="19">
        <v>0.0</v>
      </c>
      <c r="HD24" s="20">
        <f t="shared" si="1430"/>
        <v>0</v>
      </c>
      <c r="HE24" s="20">
        <f t="shared" ref="HE24:HF24" si="1431">HD24</f>
        <v>0</v>
      </c>
      <c r="HF24" s="21">
        <f t="shared" si="1431"/>
        <v>0</v>
      </c>
      <c r="HG24" s="19">
        <v>0.0</v>
      </c>
      <c r="HH24" s="20">
        <f t="shared" ref="HH24:HJ24" si="1432">HG24</f>
        <v>0</v>
      </c>
      <c r="HI24" s="20">
        <f t="shared" si="1432"/>
        <v>0</v>
      </c>
      <c r="HJ24" s="21">
        <f t="shared" si="1432"/>
        <v>0</v>
      </c>
      <c r="HK24" s="19">
        <v>0.0</v>
      </c>
      <c r="HL24" s="20">
        <f t="shared" ref="HL24:HN24" si="1433">HK24</f>
        <v>0</v>
      </c>
      <c r="HM24" s="20">
        <f t="shared" si="1433"/>
        <v>0</v>
      </c>
      <c r="HN24" s="21">
        <f t="shared" si="1433"/>
        <v>0</v>
      </c>
      <c r="HO24" s="19">
        <v>0.0</v>
      </c>
      <c r="HP24" s="20">
        <f t="shared" ref="HP24:HR24" si="1434">HO24</f>
        <v>0</v>
      </c>
      <c r="HQ24" s="20">
        <f t="shared" si="1434"/>
        <v>0</v>
      </c>
      <c r="HR24" s="21">
        <f t="shared" si="1434"/>
        <v>0</v>
      </c>
      <c r="HS24" s="19">
        <v>0.0</v>
      </c>
      <c r="HT24" s="20">
        <f t="shared" ref="HT24:HV24" si="1435">HS24</f>
        <v>0</v>
      </c>
      <c r="HU24" s="20">
        <f t="shared" si="1435"/>
        <v>0</v>
      </c>
      <c r="HV24" s="21">
        <f t="shared" si="1435"/>
        <v>0</v>
      </c>
      <c r="HW24" s="19">
        <v>0.0</v>
      </c>
      <c r="HX24" s="20">
        <f t="shared" ref="HX24:HZ24" si="1436">HW24</f>
        <v>0</v>
      </c>
      <c r="HY24" s="20">
        <f t="shared" si="1436"/>
        <v>0</v>
      </c>
      <c r="HZ24" s="21">
        <f t="shared" si="1436"/>
        <v>0</v>
      </c>
      <c r="IA24" s="19">
        <v>1500.0</v>
      </c>
      <c r="IB24" s="20">
        <v>0.0</v>
      </c>
      <c r="IC24" s="20">
        <f t="shared" ref="IC24:ID24" si="1437">IB24</f>
        <v>0</v>
      </c>
      <c r="ID24" s="21">
        <f t="shared" si="1437"/>
        <v>0</v>
      </c>
      <c r="IE24" s="19">
        <v>0.0</v>
      </c>
      <c r="IF24" s="20">
        <f t="shared" ref="IF24:IH24" si="1438">IE24</f>
        <v>0</v>
      </c>
      <c r="IG24" s="20">
        <f t="shared" si="1438"/>
        <v>0</v>
      </c>
      <c r="IH24" s="21">
        <f t="shared" si="1438"/>
        <v>0</v>
      </c>
      <c r="II24" s="19">
        <v>0.0</v>
      </c>
      <c r="IJ24" s="20">
        <f t="shared" ref="IJ24:IL24" si="1439">II24</f>
        <v>0</v>
      </c>
      <c r="IK24" s="20">
        <f t="shared" si="1439"/>
        <v>0</v>
      </c>
      <c r="IL24" s="20">
        <f t="shared" si="1439"/>
        <v>0</v>
      </c>
      <c r="IM24" s="35">
        <v>0.0</v>
      </c>
      <c r="IN24" s="20">
        <f t="shared" ref="IN24:IP24" si="1440">IM24</f>
        <v>0</v>
      </c>
      <c r="IO24" s="20">
        <f t="shared" si="1440"/>
        <v>0</v>
      </c>
      <c r="IP24" s="21">
        <f t="shared" si="1440"/>
        <v>0</v>
      </c>
      <c r="IQ24" s="19">
        <v>700.0</v>
      </c>
      <c r="IR24" s="20">
        <f t="shared" ref="IR24:IT24" si="1441">IQ24</f>
        <v>700</v>
      </c>
      <c r="IS24" s="20">
        <f t="shared" si="1441"/>
        <v>700</v>
      </c>
      <c r="IT24" s="21">
        <f t="shared" si="1441"/>
        <v>700</v>
      </c>
      <c r="IU24" s="19">
        <v>0.0</v>
      </c>
      <c r="IV24" s="20">
        <f t="shared" si="1305"/>
        <v>0</v>
      </c>
      <c r="IW24" s="20">
        <f t="shared" ref="IW24:IX24" si="1442">IV24</f>
        <v>0</v>
      </c>
      <c r="IX24" s="21">
        <f t="shared" si="1442"/>
        <v>0</v>
      </c>
      <c r="IY24" s="19">
        <v>8000.0</v>
      </c>
      <c r="IZ24" s="20">
        <f t="shared" ref="IZ24:JB24" si="1443">IY24</f>
        <v>8000</v>
      </c>
      <c r="JA24" s="20">
        <f t="shared" si="1443"/>
        <v>8000</v>
      </c>
      <c r="JB24" s="21">
        <f t="shared" si="1443"/>
        <v>8000</v>
      </c>
      <c r="JC24" s="19">
        <v>0.0</v>
      </c>
      <c r="JD24" s="20">
        <f t="shared" ref="JD24:JF24" si="1444">JC24</f>
        <v>0</v>
      </c>
      <c r="JE24" s="20">
        <f t="shared" si="1444"/>
        <v>0</v>
      </c>
      <c r="JF24" s="20">
        <f t="shared" si="1444"/>
        <v>0</v>
      </c>
      <c r="JG24" s="19">
        <v>0.0</v>
      </c>
      <c r="JH24" s="20">
        <f t="shared" ref="JH24:JJ24" si="1445">JG24</f>
        <v>0</v>
      </c>
      <c r="JI24" s="20">
        <f t="shared" si="1445"/>
        <v>0</v>
      </c>
      <c r="JJ24" s="21">
        <f t="shared" si="1445"/>
        <v>0</v>
      </c>
      <c r="JK24" s="19">
        <v>0.0</v>
      </c>
      <c r="JL24" s="20">
        <f t="shared" ref="JL24:JN24" si="1446">JK24</f>
        <v>0</v>
      </c>
      <c r="JM24" s="20">
        <f t="shared" si="1446"/>
        <v>0</v>
      </c>
      <c r="JN24" s="21">
        <f t="shared" si="1446"/>
        <v>0</v>
      </c>
      <c r="JO24" s="19">
        <v>0.0</v>
      </c>
      <c r="JP24" s="20">
        <f t="shared" ref="JP24:JR24" si="1447">JO24</f>
        <v>0</v>
      </c>
      <c r="JQ24" s="20">
        <f t="shared" si="1447"/>
        <v>0</v>
      </c>
      <c r="JR24" s="21">
        <f t="shared" si="1447"/>
        <v>0</v>
      </c>
      <c r="JS24" s="19">
        <v>0.0</v>
      </c>
      <c r="JT24" s="20">
        <f t="shared" ref="JT24:JV24" si="1448">JS24</f>
        <v>0</v>
      </c>
      <c r="JU24" s="20">
        <f t="shared" si="1448"/>
        <v>0</v>
      </c>
      <c r="JV24" s="21">
        <f t="shared" si="1448"/>
        <v>0</v>
      </c>
      <c r="JW24" s="19">
        <v>0.0</v>
      </c>
      <c r="JX24" s="20">
        <f t="shared" ref="JX24:JZ24" si="1449">JW24</f>
        <v>0</v>
      </c>
      <c r="JY24" s="20">
        <f t="shared" si="1449"/>
        <v>0</v>
      </c>
      <c r="JZ24" s="21">
        <f t="shared" si="1449"/>
        <v>0</v>
      </c>
    </row>
    <row r="25" ht="15.75" customHeight="1">
      <c r="A25" s="24" t="s">
        <v>103</v>
      </c>
      <c r="B25" s="18"/>
      <c r="C25" s="19">
        <v>25000.0</v>
      </c>
      <c r="D25" s="20">
        <f t="shared" ref="D25:F25" si="1450">C25</f>
        <v>25000</v>
      </c>
      <c r="E25" s="20">
        <f t="shared" si="1450"/>
        <v>25000</v>
      </c>
      <c r="F25" s="21">
        <f t="shared" si="1450"/>
        <v>25000</v>
      </c>
      <c r="G25" s="19">
        <v>0.0</v>
      </c>
      <c r="H25" s="20">
        <f t="shared" ref="H25:J25" si="1451">G25</f>
        <v>0</v>
      </c>
      <c r="I25" s="20">
        <f t="shared" si="1451"/>
        <v>0</v>
      </c>
      <c r="J25" s="21">
        <f t="shared" si="1451"/>
        <v>0</v>
      </c>
      <c r="K25" s="19">
        <v>0.0</v>
      </c>
      <c r="L25" s="20">
        <f t="shared" ref="L25:N25" si="1452">K25</f>
        <v>0</v>
      </c>
      <c r="M25" s="20">
        <f t="shared" si="1452"/>
        <v>0</v>
      </c>
      <c r="N25" s="21">
        <f t="shared" si="1452"/>
        <v>0</v>
      </c>
      <c r="O25" s="19">
        <v>13000.0</v>
      </c>
      <c r="P25" s="20">
        <v>10000.0</v>
      </c>
      <c r="Q25" s="20">
        <f t="shared" ref="Q25:R25" si="1453">P25</f>
        <v>10000</v>
      </c>
      <c r="R25" s="21">
        <f t="shared" si="1453"/>
        <v>10000</v>
      </c>
      <c r="S25" s="19">
        <v>7000.0</v>
      </c>
      <c r="T25" s="20">
        <f t="shared" ref="T25:V25" si="1454">S25</f>
        <v>7000</v>
      </c>
      <c r="U25" s="20">
        <f t="shared" si="1454"/>
        <v>7000</v>
      </c>
      <c r="V25" s="21">
        <f t="shared" si="1454"/>
        <v>7000</v>
      </c>
      <c r="W25" s="36">
        <v>7000.0</v>
      </c>
      <c r="X25" s="20">
        <f t="shared" ref="X25:Z25" si="1455">W25</f>
        <v>7000</v>
      </c>
      <c r="Y25" s="20">
        <f t="shared" si="1455"/>
        <v>7000</v>
      </c>
      <c r="Z25" s="21">
        <f t="shared" si="1455"/>
        <v>7000</v>
      </c>
      <c r="AA25" s="19">
        <v>53475.0</v>
      </c>
      <c r="AB25" s="20">
        <f t="shared" ref="AB25:AD25" si="1456">AA25</f>
        <v>53475</v>
      </c>
      <c r="AC25" s="20">
        <f t="shared" si="1456"/>
        <v>53475</v>
      </c>
      <c r="AD25" s="21">
        <f t="shared" si="1456"/>
        <v>53475</v>
      </c>
      <c r="AE25" s="19">
        <v>0.0</v>
      </c>
      <c r="AF25" s="20">
        <f t="shared" ref="AF25:AH25" si="1457">AE25</f>
        <v>0</v>
      </c>
      <c r="AG25" s="20">
        <f t="shared" si="1457"/>
        <v>0</v>
      </c>
      <c r="AH25" s="21">
        <f t="shared" si="1457"/>
        <v>0</v>
      </c>
      <c r="AI25" s="19">
        <v>0.0</v>
      </c>
      <c r="AJ25" s="20">
        <f t="shared" ref="AJ25:AL25" si="1458">AI25</f>
        <v>0</v>
      </c>
      <c r="AK25" s="20">
        <f t="shared" si="1458"/>
        <v>0</v>
      </c>
      <c r="AL25" s="21">
        <f t="shared" si="1458"/>
        <v>0</v>
      </c>
      <c r="AM25" s="19">
        <v>10000.0</v>
      </c>
      <c r="AN25" s="20">
        <f t="shared" ref="AN25:AP25" si="1459">AM25</f>
        <v>10000</v>
      </c>
      <c r="AO25" s="20">
        <f t="shared" si="1459"/>
        <v>10000</v>
      </c>
      <c r="AP25" s="21">
        <f t="shared" si="1459"/>
        <v>10000</v>
      </c>
      <c r="AQ25" s="19">
        <v>0.0</v>
      </c>
      <c r="AR25" s="20">
        <f t="shared" ref="AR25:AT25" si="1460">AQ25</f>
        <v>0</v>
      </c>
      <c r="AS25" s="20">
        <f t="shared" si="1460"/>
        <v>0</v>
      </c>
      <c r="AT25" s="21">
        <f t="shared" si="1460"/>
        <v>0</v>
      </c>
      <c r="AU25" s="19">
        <v>10000.0</v>
      </c>
      <c r="AV25" s="20">
        <f t="shared" ref="AV25:AX25" si="1461">AU25</f>
        <v>10000</v>
      </c>
      <c r="AW25" s="20">
        <f t="shared" si="1461"/>
        <v>10000</v>
      </c>
      <c r="AX25" s="21">
        <f t="shared" si="1461"/>
        <v>10000</v>
      </c>
      <c r="AY25" s="19">
        <v>2150.0</v>
      </c>
      <c r="AZ25" s="20">
        <f t="shared" ref="AZ25:BB25" si="1462">AY25</f>
        <v>2150</v>
      </c>
      <c r="BA25" s="20">
        <f t="shared" si="1462"/>
        <v>2150</v>
      </c>
      <c r="BB25" s="21">
        <f t="shared" si="1462"/>
        <v>2150</v>
      </c>
      <c r="BC25" s="19">
        <v>0.0</v>
      </c>
      <c r="BD25" s="20">
        <f t="shared" ref="BD25:BF25" si="1463">BC25</f>
        <v>0</v>
      </c>
      <c r="BE25" s="20">
        <f t="shared" si="1463"/>
        <v>0</v>
      </c>
      <c r="BF25" s="21">
        <f t="shared" si="1463"/>
        <v>0</v>
      </c>
      <c r="BG25" s="19">
        <v>500.0</v>
      </c>
      <c r="BH25" s="20">
        <v>0.0</v>
      </c>
      <c r="BI25" s="20">
        <f t="shared" si="1464"/>
        <v>0</v>
      </c>
      <c r="BJ25" s="21">
        <f t="shared" ref="BJ25:BJ26" si="1535">BI25</f>
        <v>0</v>
      </c>
      <c r="BK25" s="19">
        <v>0.0</v>
      </c>
      <c r="BL25" s="20">
        <f t="shared" ref="BL25:BN25" si="1465">BK25</f>
        <v>0</v>
      </c>
      <c r="BM25" s="20">
        <f t="shared" si="1465"/>
        <v>0</v>
      </c>
      <c r="BN25" s="21">
        <f t="shared" si="1465"/>
        <v>0</v>
      </c>
      <c r="BO25" s="19">
        <v>0.0</v>
      </c>
      <c r="BP25" s="20">
        <f t="shared" ref="BP25:BR25" si="1466">BO25</f>
        <v>0</v>
      </c>
      <c r="BQ25" s="20">
        <f t="shared" si="1466"/>
        <v>0</v>
      </c>
      <c r="BR25" s="21">
        <f t="shared" si="1466"/>
        <v>0</v>
      </c>
      <c r="BS25" s="19">
        <v>0.0</v>
      </c>
      <c r="BT25" s="20">
        <f t="shared" si="1253"/>
        <v>0</v>
      </c>
      <c r="BU25" s="20">
        <f t="shared" ref="BU25:BV25" si="1467">BT25</f>
        <v>0</v>
      </c>
      <c r="BV25" s="21">
        <f t="shared" si="1467"/>
        <v>0</v>
      </c>
      <c r="BW25" s="19">
        <v>0.0</v>
      </c>
      <c r="BX25" s="20">
        <f t="shared" ref="BX25:BZ25" si="1468">BW25</f>
        <v>0</v>
      </c>
      <c r="BY25" s="20">
        <f t="shared" si="1468"/>
        <v>0</v>
      </c>
      <c r="BZ25" s="21">
        <f t="shared" si="1468"/>
        <v>0</v>
      </c>
      <c r="CA25" s="19">
        <v>0.0</v>
      </c>
      <c r="CB25" s="20">
        <f t="shared" ref="CB25:CD25" si="1469">CA25</f>
        <v>0</v>
      </c>
      <c r="CC25" s="20">
        <f t="shared" si="1469"/>
        <v>0</v>
      </c>
      <c r="CD25" s="21">
        <f t="shared" si="1469"/>
        <v>0</v>
      </c>
      <c r="CE25" s="19">
        <v>0.0</v>
      </c>
      <c r="CF25" s="20">
        <f t="shared" ref="CF25:CH25" si="1470">CE25</f>
        <v>0</v>
      </c>
      <c r="CG25" s="20">
        <f t="shared" si="1470"/>
        <v>0</v>
      </c>
      <c r="CH25" s="21">
        <f t="shared" si="1470"/>
        <v>0</v>
      </c>
      <c r="CI25" s="19">
        <v>0.0</v>
      </c>
      <c r="CJ25" s="20">
        <f t="shared" ref="CJ25:CL25" si="1471">CI25</f>
        <v>0</v>
      </c>
      <c r="CK25" s="20">
        <f t="shared" si="1471"/>
        <v>0</v>
      </c>
      <c r="CL25" s="21">
        <f t="shared" si="1471"/>
        <v>0</v>
      </c>
      <c r="CM25" s="19">
        <v>0.0</v>
      </c>
      <c r="CN25" s="20">
        <f t="shared" ref="CN25:CP25" si="1472">CM25</f>
        <v>0</v>
      </c>
      <c r="CO25" s="20">
        <f t="shared" si="1472"/>
        <v>0</v>
      </c>
      <c r="CP25" s="21">
        <f t="shared" si="1472"/>
        <v>0</v>
      </c>
      <c r="CQ25" s="19">
        <v>0.0</v>
      </c>
      <c r="CR25" s="20">
        <f t="shared" ref="CR25:CT25" si="1473">CQ25</f>
        <v>0</v>
      </c>
      <c r="CS25" s="20">
        <f t="shared" si="1473"/>
        <v>0</v>
      </c>
      <c r="CT25" s="21">
        <f t="shared" si="1473"/>
        <v>0</v>
      </c>
      <c r="CU25" s="19">
        <v>1000.0</v>
      </c>
      <c r="CV25" s="20">
        <f t="shared" si="1261"/>
        <v>1000</v>
      </c>
      <c r="CW25" s="20">
        <v>0.0</v>
      </c>
      <c r="CX25" s="21">
        <f t="shared" si="1474"/>
        <v>0</v>
      </c>
      <c r="CY25" s="19">
        <v>0.0</v>
      </c>
      <c r="CZ25" s="20">
        <f t="shared" ref="CZ25:DB25" si="1475">CY25</f>
        <v>0</v>
      </c>
      <c r="DA25" s="20">
        <f t="shared" si="1475"/>
        <v>0</v>
      </c>
      <c r="DB25" s="21">
        <f t="shared" si="1475"/>
        <v>0</v>
      </c>
      <c r="DC25" s="19">
        <v>0.0</v>
      </c>
      <c r="DD25" s="20">
        <f t="shared" ref="DD25:DF25" si="1476">DC25</f>
        <v>0</v>
      </c>
      <c r="DE25" s="20">
        <f t="shared" si="1476"/>
        <v>0</v>
      </c>
      <c r="DF25" s="21">
        <f t="shared" si="1476"/>
        <v>0</v>
      </c>
      <c r="DG25" s="19">
        <v>0.0</v>
      </c>
      <c r="DH25" s="20">
        <f t="shared" ref="DH25:DJ25" si="1477">DG25</f>
        <v>0</v>
      </c>
      <c r="DI25" s="20">
        <f t="shared" si="1477"/>
        <v>0</v>
      </c>
      <c r="DJ25" s="21">
        <f t="shared" si="1477"/>
        <v>0</v>
      </c>
      <c r="DK25" s="19">
        <v>0.0</v>
      </c>
      <c r="DL25" s="20">
        <f t="shared" ref="DL25:DN25" si="1478">DK25</f>
        <v>0</v>
      </c>
      <c r="DM25" s="20">
        <f t="shared" si="1478"/>
        <v>0</v>
      </c>
      <c r="DN25" s="21">
        <f t="shared" si="1478"/>
        <v>0</v>
      </c>
      <c r="DO25" s="19">
        <v>0.0</v>
      </c>
      <c r="DP25" s="20">
        <f t="shared" ref="DP25:DR25" si="1479">DO25</f>
        <v>0</v>
      </c>
      <c r="DQ25" s="20">
        <f t="shared" si="1479"/>
        <v>0</v>
      </c>
      <c r="DR25" s="21">
        <f t="shared" si="1479"/>
        <v>0</v>
      </c>
      <c r="DS25" s="19">
        <v>5000.0</v>
      </c>
      <c r="DT25" s="20">
        <f t="shared" ref="DT25:DV25" si="1480">DS25</f>
        <v>5000</v>
      </c>
      <c r="DU25" s="20">
        <f t="shared" si="1480"/>
        <v>5000</v>
      </c>
      <c r="DV25" s="21">
        <f t="shared" si="1480"/>
        <v>5000</v>
      </c>
      <c r="DW25" s="19">
        <v>0.0</v>
      </c>
      <c r="DX25" s="20">
        <f t="shared" ref="DX25:DZ25" si="1481">DW25</f>
        <v>0</v>
      </c>
      <c r="DY25" s="20">
        <f t="shared" si="1481"/>
        <v>0</v>
      </c>
      <c r="DZ25" s="21">
        <f t="shared" si="1481"/>
        <v>0</v>
      </c>
      <c r="EA25" s="19">
        <v>0.0</v>
      </c>
      <c r="EB25" s="20">
        <f t="shared" si="1271"/>
        <v>0</v>
      </c>
      <c r="EC25" s="20">
        <f t="shared" ref="EC25:ED25" si="1482">EB25</f>
        <v>0</v>
      </c>
      <c r="ED25" s="21">
        <f t="shared" si="1482"/>
        <v>0</v>
      </c>
      <c r="EE25" s="19">
        <v>0.0</v>
      </c>
      <c r="EF25" s="20">
        <f t="shared" ref="EF25:EH25" si="1483">EE25</f>
        <v>0</v>
      </c>
      <c r="EG25" s="20">
        <f t="shared" si="1483"/>
        <v>0</v>
      </c>
      <c r="EH25" s="21">
        <f t="shared" si="1483"/>
        <v>0</v>
      </c>
      <c r="EI25" s="19">
        <v>0.0</v>
      </c>
      <c r="EJ25" s="21">
        <f t="shared" ref="EJ25:EK25" si="1484">EI25</f>
        <v>0</v>
      </c>
      <c r="EK25" s="21">
        <f t="shared" si="1484"/>
        <v>0</v>
      </c>
      <c r="EL25" s="21">
        <f t="shared" si="797"/>
        <v>0</v>
      </c>
      <c r="EM25" s="19">
        <v>0.0</v>
      </c>
      <c r="EN25" s="20">
        <f t="shared" ref="EN25:EP25" si="1485">EM25</f>
        <v>0</v>
      </c>
      <c r="EO25" s="20">
        <f t="shared" si="1485"/>
        <v>0</v>
      </c>
      <c r="EP25" s="21">
        <f t="shared" si="1485"/>
        <v>0</v>
      </c>
      <c r="EQ25" s="19">
        <v>1000.0</v>
      </c>
      <c r="ER25" s="20">
        <f t="shared" ref="ER25:ET25" si="1486">EQ25</f>
        <v>1000</v>
      </c>
      <c r="ES25" s="20">
        <f t="shared" si="1486"/>
        <v>1000</v>
      </c>
      <c r="ET25" s="21">
        <f t="shared" si="1486"/>
        <v>1000</v>
      </c>
      <c r="EU25" s="19">
        <v>0.0</v>
      </c>
      <c r="EV25" s="20">
        <f t="shared" ref="EV25:EX25" si="1487">EU25</f>
        <v>0</v>
      </c>
      <c r="EW25" s="20">
        <f t="shared" si="1487"/>
        <v>0</v>
      </c>
      <c r="EX25" s="21">
        <f t="shared" si="1487"/>
        <v>0</v>
      </c>
      <c r="EY25" s="19">
        <v>0.0</v>
      </c>
      <c r="EZ25" s="20">
        <f t="shared" ref="EZ25:FB25" si="1488">EY25</f>
        <v>0</v>
      </c>
      <c r="FA25" s="20">
        <f t="shared" si="1488"/>
        <v>0</v>
      </c>
      <c r="FB25" s="21">
        <f t="shared" si="1488"/>
        <v>0</v>
      </c>
      <c r="FC25" s="19">
        <v>0.0</v>
      </c>
      <c r="FD25" s="20">
        <f t="shared" ref="FD25:FF25" si="1489">FC25</f>
        <v>0</v>
      </c>
      <c r="FE25" s="20">
        <f t="shared" si="1489"/>
        <v>0</v>
      </c>
      <c r="FF25" s="21">
        <f t="shared" si="1489"/>
        <v>0</v>
      </c>
      <c r="FG25" s="19">
        <v>0.0</v>
      </c>
      <c r="FH25" s="20">
        <f t="shared" ref="FH25:FJ25" si="1490">FG25</f>
        <v>0</v>
      </c>
      <c r="FI25" s="20">
        <f t="shared" si="1490"/>
        <v>0</v>
      </c>
      <c r="FJ25" s="21">
        <f t="shared" si="1490"/>
        <v>0</v>
      </c>
      <c r="FK25" s="19">
        <v>0.0</v>
      </c>
      <c r="FL25" s="20">
        <f t="shared" ref="FL25:FN25" si="1491">FK25</f>
        <v>0</v>
      </c>
      <c r="FM25" s="20">
        <f t="shared" si="1491"/>
        <v>0</v>
      </c>
      <c r="FN25" s="21">
        <f t="shared" si="1491"/>
        <v>0</v>
      </c>
      <c r="FO25" s="19">
        <v>0.0</v>
      </c>
      <c r="FP25" s="20">
        <f t="shared" ref="FP25:FR25" si="1492">FO25</f>
        <v>0</v>
      </c>
      <c r="FQ25" s="20">
        <f t="shared" si="1492"/>
        <v>0</v>
      </c>
      <c r="FR25" s="21">
        <f t="shared" si="1492"/>
        <v>0</v>
      </c>
      <c r="FS25" s="19">
        <v>0.0</v>
      </c>
      <c r="FT25" s="20">
        <f t="shared" ref="FT25:FV25" si="1493">FS25</f>
        <v>0</v>
      </c>
      <c r="FU25" s="20">
        <f t="shared" si="1493"/>
        <v>0</v>
      </c>
      <c r="FV25" s="21">
        <f t="shared" si="1493"/>
        <v>0</v>
      </c>
      <c r="FW25" s="19">
        <v>1000.0</v>
      </c>
      <c r="FX25" s="20">
        <f t="shared" si="1284"/>
        <v>1000</v>
      </c>
      <c r="FY25" s="20">
        <f t="shared" ref="FY25:FZ25" si="1494">FX25</f>
        <v>1000</v>
      </c>
      <c r="FZ25" s="21">
        <f t="shared" si="1494"/>
        <v>1000</v>
      </c>
      <c r="GA25" s="19">
        <v>0.0</v>
      </c>
      <c r="GB25" s="20">
        <f t="shared" si="1286"/>
        <v>0</v>
      </c>
      <c r="GC25" s="20">
        <f t="shared" ref="GC25:GD25" si="1495">GB25</f>
        <v>0</v>
      </c>
      <c r="GD25" s="21">
        <f t="shared" si="1495"/>
        <v>0</v>
      </c>
      <c r="GE25" s="19">
        <v>0.0</v>
      </c>
      <c r="GF25" s="20">
        <f t="shared" ref="GF25:GH25" si="1496">GE25</f>
        <v>0</v>
      </c>
      <c r="GG25" s="20">
        <f t="shared" si="1496"/>
        <v>0</v>
      </c>
      <c r="GH25" s="21">
        <f t="shared" si="1496"/>
        <v>0</v>
      </c>
      <c r="GI25" s="19">
        <v>4200.0</v>
      </c>
      <c r="GJ25" s="20">
        <f t="shared" ref="GJ25:GL25" si="1497">GI25</f>
        <v>4200</v>
      </c>
      <c r="GK25" s="20">
        <f t="shared" si="1497"/>
        <v>4200</v>
      </c>
      <c r="GL25" s="20">
        <f t="shared" si="1497"/>
        <v>4200</v>
      </c>
      <c r="GM25" s="22">
        <v>0.0</v>
      </c>
      <c r="GN25" s="20">
        <f t="shared" ref="GN25:GP25" si="1498">GM25</f>
        <v>0</v>
      </c>
      <c r="GO25" s="20">
        <f t="shared" si="1498"/>
        <v>0</v>
      </c>
      <c r="GP25" s="21">
        <f t="shared" si="1498"/>
        <v>0</v>
      </c>
      <c r="GQ25" s="19">
        <v>0.0</v>
      </c>
      <c r="GR25" s="20">
        <f t="shared" ref="GR25:GT25" si="1499">GQ25</f>
        <v>0</v>
      </c>
      <c r="GS25" s="20">
        <f t="shared" si="1499"/>
        <v>0</v>
      </c>
      <c r="GT25" s="21">
        <f t="shared" si="1499"/>
        <v>0</v>
      </c>
      <c r="GU25" s="19">
        <v>0.0</v>
      </c>
      <c r="GV25" s="20">
        <f t="shared" si="1427"/>
        <v>0</v>
      </c>
      <c r="GW25" s="20">
        <f t="shared" ref="GW25:GX25" si="1500">GV25</f>
        <v>0</v>
      </c>
      <c r="GX25" s="21">
        <f t="shared" si="1500"/>
        <v>0</v>
      </c>
      <c r="GY25" s="19">
        <v>0.0</v>
      </c>
      <c r="GZ25" s="20">
        <f t="shared" ref="GZ25:HB25" si="1501">GY25</f>
        <v>0</v>
      </c>
      <c r="HA25" s="20">
        <f t="shared" si="1501"/>
        <v>0</v>
      </c>
      <c r="HB25" s="21">
        <f t="shared" si="1501"/>
        <v>0</v>
      </c>
      <c r="HC25" s="19">
        <v>0.0</v>
      </c>
      <c r="HD25" s="20">
        <f t="shared" si="1430"/>
        <v>0</v>
      </c>
      <c r="HE25" s="20">
        <f t="shared" ref="HE25:HF25" si="1502">HD25</f>
        <v>0</v>
      </c>
      <c r="HF25" s="21">
        <f t="shared" si="1502"/>
        <v>0</v>
      </c>
      <c r="HG25" s="19">
        <v>0.0</v>
      </c>
      <c r="HH25" s="20">
        <f t="shared" ref="HH25:HJ25" si="1503">HG25</f>
        <v>0</v>
      </c>
      <c r="HI25" s="20">
        <f t="shared" si="1503"/>
        <v>0</v>
      </c>
      <c r="HJ25" s="21">
        <f t="shared" si="1503"/>
        <v>0</v>
      </c>
      <c r="HK25" s="19">
        <v>0.0</v>
      </c>
      <c r="HL25" s="20">
        <f t="shared" ref="HL25:HN25" si="1504">HK25</f>
        <v>0</v>
      </c>
      <c r="HM25" s="20">
        <f t="shared" si="1504"/>
        <v>0</v>
      </c>
      <c r="HN25" s="21">
        <f t="shared" si="1504"/>
        <v>0</v>
      </c>
      <c r="HO25" s="19">
        <v>0.0</v>
      </c>
      <c r="HP25" s="20">
        <f t="shared" ref="HP25:HR25" si="1505">HO25</f>
        <v>0</v>
      </c>
      <c r="HQ25" s="20">
        <f t="shared" si="1505"/>
        <v>0</v>
      </c>
      <c r="HR25" s="21">
        <f t="shared" si="1505"/>
        <v>0</v>
      </c>
      <c r="HS25" s="19">
        <v>0.0</v>
      </c>
      <c r="HT25" s="20">
        <f t="shared" ref="HT25:HV25" si="1506">HS25</f>
        <v>0</v>
      </c>
      <c r="HU25" s="20">
        <f t="shared" si="1506"/>
        <v>0</v>
      </c>
      <c r="HV25" s="21">
        <f t="shared" si="1506"/>
        <v>0</v>
      </c>
      <c r="HW25" s="19">
        <v>0.0</v>
      </c>
      <c r="HX25" s="20">
        <f t="shared" ref="HX25:HZ25" si="1507">HW25</f>
        <v>0</v>
      </c>
      <c r="HY25" s="20">
        <f t="shared" si="1507"/>
        <v>0</v>
      </c>
      <c r="HZ25" s="21">
        <f t="shared" si="1507"/>
        <v>0</v>
      </c>
      <c r="IA25" s="19">
        <v>200.0</v>
      </c>
      <c r="IB25" s="20">
        <v>0.0</v>
      </c>
      <c r="IC25" s="20">
        <f t="shared" ref="IC25:ID25" si="1508">IB25</f>
        <v>0</v>
      </c>
      <c r="ID25" s="21">
        <f t="shared" si="1508"/>
        <v>0</v>
      </c>
      <c r="IE25" s="19">
        <v>0.0</v>
      </c>
      <c r="IF25" s="20">
        <f t="shared" ref="IF25:IH25" si="1509">IE25</f>
        <v>0</v>
      </c>
      <c r="IG25" s="20">
        <f t="shared" si="1509"/>
        <v>0</v>
      </c>
      <c r="IH25" s="21">
        <f t="shared" si="1509"/>
        <v>0</v>
      </c>
      <c r="II25" s="19">
        <v>0.0</v>
      </c>
      <c r="IJ25" s="20">
        <f t="shared" ref="IJ25:IL25" si="1510">II25</f>
        <v>0</v>
      </c>
      <c r="IK25" s="20">
        <f t="shared" si="1510"/>
        <v>0</v>
      </c>
      <c r="IL25" s="21">
        <f t="shared" si="1510"/>
        <v>0</v>
      </c>
      <c r="IM25" s="19">
        <v>0.0</v>
      </c>
      <c r="IN25" s="20">
        <f t="shared" ref="IN25:IP25" si="1511">IM25</f>
        <v>0</v>
      </c>
      <c r="IO25" s="20">
        <f t="shared" si="1511"/>
        <v>0</v>
      </c>
      <c r="IP25" s="21">
        <f t="shared" si="1511"/>
        <v>0</v>
      </c>
      <c r="IQ25" s="19">
        <v>0.0</v>
      </c>
      <c r="IR25" s="20">
        <f t="shared" ref="IR25:IT25" si="1512">IQ25</f>
        <v>0</v>
      </c>
      <c r="IS25" s="20">
        <f t="shared" si="1512"/>
        <v>0</v>
      </c>
      <c r="IT25" s="21">
        <f t="shared" si="1512"/>
        <v>0</v>
      </c>
      <c r="IU25" s="19">
        <v>0.0</v>
      </c>
      <c r="IV25" s="20">
        <f t="shared" si="1305"/>
        <v>0</v>
      </c>
      <c r="IW25" s="20">
        <f t="shared" ref="IW25:IX25" si="1513">IV25</f>
        <v>0</v>
      </c>
      <c r="IX25" s="21">
        <f t="shared" si="1513"/>
        <v>0</v>
      </c>
      <c r="IY25" s="19">
        <v>0.0</v>
      </c>
      <c r="IZ25" s="20">
        <f t="shared" ref="IZ25:JB25" si="1514">IY25</f>
        <v>0</v>
      </c>
      <c r="JA25" s="20">
        <f t="shared" si="1514"/>
        <v>0</v>
      </c>
      <c r="JB25" s="21">
        <f t="shared" si="1514"/>
        <v>0</v>
      </c>
      <c r="JC25" s="19">
        <v>0.0</v>
      </c>
      <c r="JD25" s="20">
        <f t="shared" ref="JD25:JF25" si="1515">JC25</f>
        <v>0</v>
      </c>
      <c r="JE25" s="20">
        <f t="shared" si="1515"/>
        <v>0</v>
      </c>
      <c r="JF25" s="20">
        <f t="shared" si="1515"/>
        <v>0</v>
      </c>
      <c r="JG25" s="19">
        <v>0.0</v>
      </c>
      <c r="JH25" s="20">
        <f t="shared" ref="JH25:JJ25" si="1516">JG25</f>
        <v>0</v>
      </c>
      <c r="JI25" s="20">
        <f t="shared" si="1516"/>
        <v>0</v>
      </c>
      <c r="JJ25" s="21">
        <f t="shared" si="1516"/>
        <v>0</v>
      </c>
      <c r="JK25" s="19">
        <v>0.0</v>
      </c>
      <c r="JL25" s="20">
        <f t="shared" ref="JL25:JN25" si="1517">JK25</f>
        <v>0</v>
      </c>
      <c r="JM25" s="20">
        <f t="shared" si="1517"/>
        <v>0</v>
      </c>
      <c r="JN25" s="21">
        <f t="shared" si="1517"/>
        <v>0</v>
      </c>
      <c r="JO25" s="19">
        <v>0.0</v>
      </c>
      <c r="JP25" s="20">
        <f t="shared" ref="JP25:JR25" si="1518">JO25</f>
        <v>0</v>
      </c>
      <c r="JQ25" s="20">
        <f t="shared" si="1518"/>
        <v>0</v>
      </c>
      <c r="JR25" s="21">
        <f t="shared" si="1518"/>
        <v>0</v>
      </c>
      <c r="JS25" s="19">
        <v>0.0</v>
      </c>
      <c r="JT25" s="20">
        <f t="shared" ref="JT25:JV25" si="1519">JS25</f>
        <v>0</v>
      </c>
      <c r="JU25" s="20">
        <f t="shared" si="1519"/>
        <v>0</v>
      </c>
      <c r="JV25" s="21">
        <f t="shared" si="1519"/>
        <v>0</v>
      </c>
      <c r="JW25" s="19">
        <v>0.0</v>
      </c>
      <c r="JX25" s="20">
        <f t="shared" ref="JX25:JZ25" si="1520">JW25</f>
        <v>0</v>
      </c>
      <c r="JY25" s="20">
        <f t="shared" si="1520"/>
        <v>0</v>
      </c>
      <c r="JZ25" s="21">
        <f t="shared" si="1520"/>
        <v>0</v>
      </c>
    </row>
    <row r="26" ht="15.75" customHeight="1">
      <c r="A26" s="24" t="s">
        <v>104</v>
      </c>
      <c r="B26" s="18"/>
      <c r="C26" s="19">
        <v>1000.0</v>
      </c>
      <c r="D26" s="20">
        <f t="shared" ref="D26:F26" si="1521">C26</f>
        <v>1000</v>
      </c>
      <c r="E26" s="20">
        <f t="shared" si="1521"/>
        <v>1000</v>
      </c>
      <c r="F26" s="21">
        <f t="shared" si="1521"/>
        <v>1000</v>
      </c>
      <c r="G26" s="19">
        <v>0.0</v>
      </c>
      <c r="H26" s="20">
        <f t="shared" ref="H26:J26" si="1522">G26</f>
        <v>0</v>
      </c>
      <c r="I26" s="20">
        <f t="shared" si="1522"/>
        <v>0</v>
      </c>
      <c r="J26" s="21">
        <f t="shared" si="1522"/>
        <v>0</v>
      </c>
      <c r="K26" s="19">
        <v>0.0</v>
      </c>
      <c r="L26" s="20">
        <f t="shared" ref="L26:N26" si="1523">K26</f>
        <v>0</v>
      </c>
      <c r="M26" s="20">
        <f t="shared" si="1523"/>
        <v>0</v>
      </c>
      <c r="N26" s="21">
        <f t="shared" si="1523"/>
        <v>0</v>
      </c>
      <c r="O26" s="19">
        <v>0.0</v>
      </c>
      <c r="P26" s="20">
        <f t="shared" ref="P26:R26" si="1524">O26</f>
        <v>0</v>
      </c>
      <c r="Q26" s="20">
        <f t="shared" si="1524"/>
        <v>0</v>
      </c>
      <c r="R26" s="21">
        <f t="shared" si="1524"/>
        <v>0</v>
      </c>
      <c r="S26" s="19">
        <v>0.0</v>
      </c>
      <c r="T26" s="20">
        <f t="shared" ref="T26:V26" si="1525">S26</f>
        <v>0</v>
      </c>
      <c r="U26" s="20">
        <f t="shared" si="1525"/>
        <v>0</v>
      </c>
      <c r="V26" s="21">
        <f t="shared" si="1525"/>
        <v>0</v>
      </c>
      <c r="W26" s="34">
        <v>22300.0</v>
      </c>
      <c r="X26" s="20">
        <f t="shared" ref="X26:Z26" si="1526">W26</f>
        <v>22300</v>
      </c>
      <c r="Y26" s="20">
        <f t="shared" si="1526"/>
        <v>22300</v>
      </c>
      <c r="Z26" s="21">
        <f t="shared" si="1526"/>
        <v>22300</v>
      </c>
      <c r="AA26" s="19">
        <v>0.0</v>
      </c>
      <c r="AB26" s="20">
        <f t="shared" ref="AB26:AD26" si="1527">AA26</f>
        <v>0</v>
      </c>
      <c r="AC26" s="20">
        <f t="shared" si="1527"/>
        <v>0</v>
      </c>
      <c r="AD26" s="21">
        <f t="shared" si="1527"/>
        <v>0</v>
      </c>
      <c r="AE26" s="19">
        <v>0.0</v>
      </c>
      <c r="AF26" s="20">
        <f t="shared" ref="AF26:AH26" si="1528">AE26</f>
        <v>0</v>
      </c>
      <c r="AG26" s="20">
        <f t="shared" si="1528"/>
        <v>0</v>
      </c>
      <c r="AH26" s="21">
        <f t="shared" si="1528"/>
        <v>0</v>
      </c>
      <c r="AI26" s="19">
        <v>0.0</v>
      </c>
      <c r="AJ26" s="20">
        <f t="shared" ref="AJ26:AL26" si="1529">AI26</f>
        <v>0</v>
      </c>
      <c r="AK26" s="20">
        <f t="shared" si="1529"/>
        <v>0</v>
      </c>
      <c r="AL26" s="21">
        <f t="shared" si="1529"/>
        <v>0</v>
      </c>
      <c r="AM26" s="19">
        <v>4000.0</v>
      </c>
      <c r="AN26" s="20">
        <f t="shared" ref="AN26:AP26" si="1530">AM26</f>
        <v>4000</v>
      </c>
      <c r="AO26" s="20">
        <f t="shared" si="1530"/>
        <v>4000</v>
      </c>
      <c r="AP26" s="21">
        <f t="shared" si="1530"/>
        <v>4000</v>
      </c>
      <c r="AQ26" s="19">
        <v>3400.0</v>
      </c>
      <c r="AR26" s="20">
        <f t="shared" ref="AR26:AT26" si="1531">AQ26</f>
        <v>3400</v>
      </c>
      <c r="AS26" s="20">
        <f t="shared" si="1531"/>
        <v>3400</v>
      </c>
      <c r="AT26" s="21">
        <f t="shared" si="1531"/>
        <v>3400</v>
      </c>
      <c r="AU26" s="19">
        <v>10000.0</v>
      </c>
      <c r="AV26" s="20">
        <f t="shared" ref="AV26:AX26" si="1532">AU26</f>
        <v>10000</v>
      </c>
      <c r="AW26" s="20">
        <f t="shared" si="1532"/>
        <v>10000</v>
      </c>
      <c r="AX26" s="21">
        <f t="shared" si="1532"/>
        <v>10000</v>
      </c>
      <c r="AY26" s="19">
        <v>0.0</v>
      </c>
      <c r="AZ26" s="20">
        <f t="shared" ref="AZ26:BB26" si="1533">AY26</f>
        <v>0</v>
      </c>
      <c r="BA26" s="20">
        <f t="shared" si="1533"/>
        <v>0</v>
      </c>
      <c r="BB26" s="21">
        <f t="shared" si="1533"/>
        <v>0</v>
      </c>
      <c r="BC26" s="19">
        <v>0.0</v>
      </c>
      <c r="BD26" s="20">
        <f t="shared" ref="BD26:BF26" si="1534">BC26</f>
        <v>0</v>
      </c>
      <c r="BE26" s="20">
        <f t="shared" si="1534"/>
        <v>0</v>
      </c>
      <c r="BF26" s="21">
        <f t="shared" si="1534"/>
        <v>0</v>
      </c>
      <c r="BG26" s="19">
        <v>1500.0</v>
      </c>
      <c r="BH26" s="20">
        <v>0.0</v>
      </c>
      <c r="BI26" s="20">
        <f t="shared" si="1464"/>
        <v>0</v>
      </c>
      <c r="BJ26" s="21">
        <f t="shared" si="1535"/>
        <v>0</v>
      </c>
      <c r="BK26" s="19">
        <v>0.0</v>
      </c>
      <c r="BL26" s="20">
        <f t="shared" ref="BL26:BN26" si="1536">BK26</f>
        <v>0</v>
      </c>
      <c r="BM26" s="20">
        <f t="shared" si="1536"/>
        <v>0</v>
      </c>
      <c r="BN26" s="21">
        <f t="shared" si="1536"/>
        <v>0</v>
      </c>
      <c r="BO26" s="19">
        <v>0.0</v>
      </c>
      <c r="BP26" s="20">
        <f t="shared" ref="BP26:BR26" si="1537">BO26</f>
        <v>0</v>
      </c>
      <c r="BQ26" s="20">
        <f t="shared" si="1537"/>
        <v>0</v>
      </c>
      <c r="BR26" s="21">
        <f t="shared" si="1537"/>
        <v>0</v>
      </c>
      <c r="BS26" s="19">
        <v>3500.0</v>
      </c>
      <c r="BT26" s="20">
        <f t="shared" si="1253"/>
        <v>3500</v>
      </c>
      <c r="BU26" s="20">
        <v>2753.7</v>
      </c>
      <c r="BV26" s="21">
        <f>BU26</f>
        <v>2753.7</v>
      </c>
      <c r="BW26" s="19">
        <v>0.0</v>
      </c>
      <c r="BX26" s="20">
        <f t="shared" ref="BX26:BZ26" si="1538">BW26</f>
        <v>0</v>
      </c>
      <c r="BY26" s="20">
        <f t="shared" si="1538"/>
        <v>0</v>
      </c>
      <c r="BZ26" s="21">
        <f t="shared" si="1538"/>
        <v>0</v>
      </c>
      <c r="CA26" s="19">
        <v>0.0</v>
      </c>
      <c r="CB26" s="20">
        <f t="shared" ref="CB26:CD26" si="1539">CA26</f>
        <v>0</v>
      </c>
      <c r="CC26" s="20">
        <f t="shared" si="1539"/>
        <v>0</v>
      </c>
      <c r="CD26" s="21">
        <f t="shared" si="1539"/>
        <v>0</v>
      </c>
      <c r="CE26" s="19">
        <v>0.0</v>
      </c>
      <c r="CF26" s="20">
        <f t="shared" ref="CF26:CH26" si="1540">CE26</f>
        <v>0</v>
      </c>
      <c r="CG26" s="20">
        <f t="shared" si="1540"/>
        <v>0</v>
      </c>
      <c r="CH26" s="21">
        <f t="shared" si="1540"/>
        <v>0</v>
      </c>
      <c r="CI26" s="19">
        <v>0.0</v>
      </c>
      <c r="CJ26" s="20">
        <f t="shared" ref="CJ26:CL26" si="1541">CI26</f>
        <v>0</v>
      </c>
      <c r="CK26" s="20">
        <f t="shared" si="1541"/>
        <v>0</v>
      </c>
      <c r="CL26" s="21">
        <f t="shared" si="1541"/>
        <v>0</v>
      </c>
      <c r="CM26" s="19">
        <v>0.0</v>
      </c>
      <c r="CN26" s="20">
        <f t="shared" ref="CN26:CP26" si="1542">CM26</f>
        <v>0</v>
      </c>
      <c r="CO26" s="20">
        <f t="shared" si="1542"/>
        <v>0</v>
      </c>
      <c r="CP26" s="21">
        <f t="shared" si="1542"/>
        <v>0</v>
      </c>
      <c r="CQ26" s="19">
        <v>0.0</v>
      </c>
      <c r="CR26" s="20">
        <f t="shared" ref="CR26:CT26" si="1543">CQ26</f>
        <v>0</v>
      </c>
      <c r="CS26" s="20">
        <f t="shared" si="1543"/>
        <v>0</v>
      </c>
      <c r="CT26" s="21">
        <f t="shared" si="1543"/>
        <v>0</v>
      </c>
      <c r="CU26" s="19">
        <v>0.0</v>
      </c>
      <c r="CV26" s="20">
        <f t="shared" si="1261"/>
        <v>0</v>
      </c>
      <c r="CW26" s="20">
        <f t="shared" ref="CW26:CX26" si="1544">CV26</f>
        <v>0</v>
      </c>
      <c r="CX26" s="21">
        <f t="shared" si="1544"/>
        <v>0</v>
      </c>
      <c r="CY26" s="19">
        <v>0.0</v>
      </c>
      <c r="CZ26" s="20">
        <f t="shared" ref="CZ26:DB26" si="1545">CY26</f>
        <v>0</v>
      </c>
      <c r="DA26" s="20">
        <f t="shared" si="1545"/>
        <v>0</v>
      </c>
      <c r="DB26" s="21">
        <f t="shared" si="1545"/>
        <v>0</v>
      </c>
      <c r="DC26" s="19">
        <v>0.0</v>
      </c>
      <c r="DD26" s="20">
        <f t="shared" ref="DD26:DF26" si="1546">DC26</f>
        <v>0</v>
      </c>
      <c r="DE26" s="20">
        <f t="shared" si="1546"/>
        <v>0</v>
      </c>
      <c r="DF26" s="21">
        <f t="shared" si="1546"/>
        <v>0</v>
      </c>
      <c r="DG26" s="19">
        <v>12500.0</v>
      </c>
      <c r="DH26" s="20">
        <f t="shared" ref="DH26:DJ26" si="1547">DG26</f>
        <v>12500</v>
      </c>
      <c r="DI26" s="20">
        <f t="shared" si="1547"/>
        <v>12500</v>
      </c>
      <c r="DJ26" s="21">
        <f t="shared" si="1547"/>
        <v>12500</v>
      </c>
      <c r="DK26" s="19">
        <v>2000.0</v>
      </c>
      <c r="DL26" s="20">
        <f t="shared" ref="DL26:DN26" si="1548">DK26</f>
        <v>2000</v>
      </c>
      <c r="DM26" s="20">
        <f t="shared" si="1548"/>
        <v>2000</v>
      </c>
      <c r="DN26" s="21">
        <f t="shared" si="1548"/>
        <v>2000</v>
      </c>
      <c r="DO26" s="19">
        <v>0.0</v>
      </c>
      <c r="DP26" s="20">
        <f t="shared" ref="DP26:DR26" si="1549">DO26</f>
        <v>0</v>
      </c>
      <c r="DQ26" s="20">
        <f t="shared" si="1549"/>
        <v>0</v>
      </c>
      <c r="DR26" s="21">
        <f t="shared" si="1549"/>
        <v>0</v>
      </c>
      <c r="DS26" s="19">
        <v>1500.0</v>
      </c>
      <c r="DT26" s="20">
        <f t="shared" ref="DT26:DV26" si="1550">DS26</f>
        <v>1500</v>
      </c>
      <c r="DU26" s="20">
        <f t="shared" si="1550"/>
        <v>1500</v>
      </c>
      <c r="DV26" s="21">
        <f t="shared" si="1550"/>
        <v>1500</v>
      </c>
      <c r="DW26" s="19">
        <v>0.0</v>
      </c>
      <c r="DX26" s="20">
        <f t="shared" ref="DX26:DZ26" si="1551">DW26</f>
        <v>0</v>
      </c>
      <c r="DY26" s="20">
        <f t="shared" si="1551"/>
        <v>0</v>
      </c>
      <c r="DZ26" s="21">
        <f t="shared" si="1551"/>
        <v>0</v>
      </c>
      <c r="EA26" s="19">
        <v>0.0</v>
      </c>
      <c r="EB26" s="20">
        <f t="shared" si="1271"/>
        <v>0</v>
      </c>
      <c r="EC26" s="20">
        <f t="shared" ref="EC26:ED26" si="1552">EB26</f>
        <v>0</v>
      </c>
      <c r="ED26" s="21">
        <f t="shared" si="1552"/>
        <v>0</v>
      </c>
      <c r="EE26" s="19">
        <v>0.0</v>
      </c>
      <c r="EF26" s="20">
        <f t="shared" ref="EF26:EH26" si="1553">EE26</f>
        <v>0</v>
      </c>
      <c r="EG26" s="20">
        <f t="shared" si="1553"/>
        <v>0</v>
      </c>
      <c r="EH26" s="21">
        <f t="shared" si="1553"/>
        <v>0</v>
      </c>
      <c r="EI26" s="19">
        <v>0.0</v>
      </c>
      <c r="EJ26" s="21">
        <f t="shared" ref="EJ26:EK26" si="1554">EI26</f>
        <v>0</v>
      </c>
      <c r="EK26" s="21">
        <f t="shared" si="1554"/>
        <v>0</v>
      </c>
      <c r="EL26" s="21">
        <f t="shared" si="797"/>
        <v>0</v>
      </c>
      <c r="EM26" s="19">
        <v>0.0</v>
      </c>
      <c r="EN26" s="20">
        <f t="shared" ref="EN26:EP26" si="1555">EM26</f>
        <v>0</v>
      </c>
      <c r="EO26" s="20">
        <f t="shared" si="1555"/>
        <v>0</v>
      </c>
      <c r="EP26" s="21">
        <f t="shared" si="1555"/>
        <v>0</v>
      </c>
      <c r="EQ26" s="19">
        <v>3000.0</v>
      </c>
      <c r="ER26" s="20">
        <f t="shared" ref="ER26:ET26" si="1556">EQ26</f>
        <v>3000</v>
      </c>
      <c r="ES26" s="20">
        <f t="shared" si="1556"/>
        <v>3000</v>
      </c>
      <c r="ET26" s="21">
        <f t="shared" si="1556"/>
        <v>3000</v>
      </c>
      <c r="EU26" s="19">
        <v>0.0</v>
      </c>
      <c r="EV26" s="20">
        <f t="shared" ref="EV26:EX26" si="1557">EU26</f>
        <v>0</v>
      </c>
      <c r="EW26" s="20">
        <f t="shared" si="1557"/>
        <v>0</v>
      </c>
      <c r="EX26" s="21">
        <f t="shared" si="1557"/>
        <v>0</v>
      </c>
      <c r="EY26" s="19">
        <v>0.0</v>
      </c>
      <c r="EZ26" s="20">
        <f t="shared" ref="EZ26:FB26" si="1558">EY26</f>
        <v>0</v>
      </c>
      <c r="FA26" s="20">
        <f t="shared" si="1558"/>
        <v>0</v>
      </c>
      <c r="FB26" s="21">
        <f t="shared" si="1558"/>
        <v>0</v>
      </c>
      <c r="FC26" s="19">
        <v>0.0</v>
      </c>
      <c r="FD26" s="20">
        <f t="shared" ref="FD26:FF26" si="1559">FC26</f>
        <v>0</v>
      </c>
      <c r="FE26" s="20">
        <f t="shared" si="1559"/>
        <v>0</v>
      </c>
      <c r="FF26" s="21">
        <f t="shared" si="1559"/>
        <v>0</v>
      </c>
      <c r="FG26" s="19">
        <v>0.0</v>
      </c>
      <c r="FH26" s="20">
        <f t="shared" ref="FH26:FJ26" si="1560">FG26</f>
        <v>0</v>
      </c>
      <c r="FI26" s="20">
        <f t="shared" si="1560"/>
        <v>0</v>
      </c>
      <c r="FJ26" s="21">
        <f t="shared" si="1560"/>
        <v>0</v>
      </c>
      <c r="FK26" s="19">
        <v>0.0</v>
      </c>
      <c r="FL26" s="20">
        <f t="shared" ref="FL26:FN26" si="1561">FK26</f>
        <v>0</v>
      </c>
      <c r="FM26" s="20">
        <f t="shared" si="1561"/>
        <v>0</v>
      </c>
      <c r="FN26" s="21">
        <f t="shared" si="1561"/>
        <v>0</v>
      </c>
      <c r="FO26" s="19">
        <v>0.0</v>
      </c>
      <c r="FP26" s="20">
        <f t="shared" ref="FP26:FR26" si="1562">FO26</f>
        <v>0</v>
      </c>
      <c r="FQ26" s="20">
        <f t="shared" si="1562"/>
        <v>0</v>
      </c>
      <c r="FR26" s="21">
        <f t="shared" si="1562"/>
        <v>0</v>
      </c>
      <c r="FS26" s="19">
        <v>0.0</v>
      </c>
      <c r="FT26" s="20">
        <f t="shared" ref="FT26:FV26" si="1563">FS26</f>
        <v>0</v>
      </c>
      <c r="FU26" s="20">
        <f t="shared" si="1563"/>
        <v>0</v>
      </c>
      <c r="FV26" s="21">
        <f t="shared" si="1563"/>
        <v>0</v>
      </c>
      <c r="FW26" s="19">
        <v>0.0</v>
      </c>
      <c r="FX26" s="20">
        <f t="shared" si="1284"/>
        <v>0</v>
      </c>
      <c r="FY26" s="20">
        <f t="shared" ref="FY26:FZ26" si="1564">FX26</f>
        <v>0</v>
      </c>
      <c r="FZ26" s="21">
        <f t="shared" si="1564"/>
        <v>0</v>
      </c>
      <c r="GA26" s="19">
        <v>0.0</v>
      </c>
      <c r="GB26" s="20">
        <f t="shared" si="1286"/>
        <v>0</v>
      </c>
      <c r="GC26" s="20">
        <f t="shared" ref="GC26:GD26" si="1565">GB26</f>
        <v>0</v>
      </c>
      <c r="GD26" s="21">
        <f t="shared" si="1565"/>
        <v>0</v>
      </c>
      <c r="GE26" s="19">
        <v>0.0</v>
      </c>
      <c r="GF26" s="20">
        <f t="shared" ref="GF26:GH26" si="1566">GE26</f>
        <v>0</v>
      </c>
      <c r="GG26" s="20">
        <f t="shared" si="1566"/>
        <v>0</v>
      </c>
      <c r="GH26" s="21">
        <f t="shared" si="1566"/>
        <v>0</v>
      </c>
      <c r="GI26" s="19">
        <v>0.0</v>
      </c>
      <c r="GJ26" s="20">
        <f t="shared" ref="GJ26:GL26" si="1567">GI26</f>
        <v>0</v>
      </c>
      <c r="GK26" s="20">
        <f t="shared" si="1567"/>
        <v>0</v>
      </c>
      <c r="GL26" s="20">
        <f t="shared" si="1567"/>
        <v>0</v>
      </c>
      <c r="GM26" s="22">
        <v>0.0</v>
      </c>
      <c r="GN26" s="20">
        <f t="shared" ref="GN26:GP26" si="1568">GM26</f>
        <v>0</v>
      </c>
      <c r="GO26" s="20">
        <f t="shared" si="1568"/>
        <v>0</v>
      </c>
      <c r="GP26" s="21">
        <f t="shared" si="1568"/>
        <v>0</v>
      </c>
      <c r="GQ26" s="19">
        <v>0.0</v>
      </c>
      <c r="GR26" s="20">
        <f t="shared" ref="GR26:GT26" si="1569">GQ26</f>
        <v>0</v>
      </c>
      <c r="GS26" s="20">
        <f t="shared" si="1569"/>
        <v>0</v>
      </c>
      <c r="GT26" s="21">
        <f t="shared" si="1569"/>
        <v>0</v>
      </c>
      <c r="GU26" s="19">
        <v>0.0</v>
      </c>
      <c r="GV26" s="20">
        <f t="shared" si="1427"/>
        <v>0</v>
      </c>
      <c r="GW26" s="20">
        <f t="shared" ref="GW26:GX26" si="1570">GV26</f>
        <v>0</v>
      </c>
      <c r="GX26" s="21">
        <f t="shared" si="1570"/>
        <v>0</v>
      </c>
      <c r="GY26" s="19">
        <v>0.0</v>
      </c>
      <c r="GZ26" s="20">
        <f t="shared" ref="GZ26:HB26" si="1571">GY26</f>
        <v>0</v>
      </c>
      <c r="HA26" s="20">
        <f t="shared" si="1571"/>
        <v>0</v>
      </c>
      <c r="HB26" s="21">
        <f t="shared" si="1571"/>
        <v>0</v>
      </c>
      <c r="HC26" s="19">
        <v>0.0</v>
      </c>
      <c r="HD26" s="20">
        <f t="shared" si="1430"/>
        <v>0</v>
      </c>
      <c r="HE26" s="20">
        <f t="shared" ref="HE26:HF26" si="1572">HD26</f>
        <v>0</v>
      </c>
      <c r="HF26" s="21">
        <f t="shared" si="1572"/>
        <v>0</v>
      </c>
      <c r="HG26" s="19">
        <v>0.0</v>
      </c>
      <c r="HH26" s="20">
        <f t="shared" ref="HH26:HJ26" si="1573">HG26</f>
        <v>0</v>
      </c>
      <c r="HI26" s="20">
        <f t="shared" si="1573"/>
        <v>0</v>
      </c>
      <c r="HJ26" s="21">
        <f t="shared" si="1573"/>
        <v>0</v>
      </c>
      <c r="HK26" s="19">
        <v>0.0</v>
      </c>
      <c r="HL26" s="20">
        <f t="shared" ref="HL26:HN26" si="1574">HK26</f>
        <v>0</v>
      </c>
      <c r="HM26" s="20">
        <f t="shared" si="1574"/>
        <v>0</v>
      </c>
      <c r="HN26" s="21">
        <f t="shared" si="1574"/>
        <v>0</v>
      </c>
      <c r="HO26" s="19">
        <v>0.0</v>
      </c>
      <c r="HP26" s="20">
        <f t="shared" ref="HP26:HR26" si="1575">HO26</f>
        <v>0</v>
      </c>
      <c r="HQ26" s="20">
        <f t="shared" si="1575"/>
        <v>0</v>
      </c>
      <c r="HR26" s="21">
        <f t="shared" si="1575"/>
        <v>0</v>
      </c>
      <c r="HS26" s="19">
        <v>0.0</v>
      </c>
      <c r="HT26" s="20">
        <f t="shared" ref="HT26:HV26" si="1576">HS26</f>
        <v>0</v>
      </c>
      <c r="HU26" s="20">
        <f t="shared" si="1576"/>
        <v>0</v>
      </c>
      <c r="HV26" s="21">
        <f t="shared" si="1576"/>
        <v>0</v>
      </c>
      <c r="HW26" s="19">
        <v>0.0</v>
      </c>
      <c r="HX26" s="20">
        <f t="shared" ref="HX26:HZ26" si="1577">HW26</f>
        <v>0</v>
      </c>
      <c r="HY26" s="20">
        <f t="shared" si="1577"/>
        <v>0</v>
      </c>
      <c r="HZ26" s="21">
        <f t="shared" si="1577"/>
        <v>0</v>
      </c>
      <c r="IA26" s="19">
        <v>0.0</v>
      </c>
      <c r="IB26" s="20">
        <f t="shared" ref="IB26:ID26" si="1578">IA26</f>
        <v>0</v>
      </c>
      <c r="IC26" s="20">
        <f t="shared" si="1578"/>
        <v>0</v>
      </c>
      <c r="ID26" s="21">
        <f t="shared" si="1578"/>
        <v>0</v>
      </c>
      <c r="IE26" s="19">
        <v>0.0</v>
      </c>
      <c r="IF26" s="20">
        <f t="shared" ref="IF26:IH26" si="1579">IE26</f>
        <v>0</v>
      </c>
      <c r="IG26" s="20">
        <f t="shared" si="1579"/>
        <v>0</v>
      </c>
      <c r="IH26" s="21">
        <f t="shared" si="1579"/>
        <v>0</v>
      </c>
      <c r="II26" s="19">
        <v>0.0</v>
      </c>
      <c r="IJ26" s="20">
        <f t="shared" ref="IJ26:IL26" si="1580">II26</f>
        <v>0</v>
      </c>
      <c r="IK26" s="20">
        <f t="shared" si="1580"/>
        <v>0</v>
      </c>
      <c r="IL26" s="21">
        <f t="shared" si="1580"/>
        <v>0</v>
      </c>
      <c r="IM26" s="19">
        <v>0.0</v>
      </c>
      <c r="IN26" s="20">
        <f t="shared" ref="IN26:IP26" si="1581">IM26</f>
        <v>0</v>
      </c>
      <c r="IO26" s="20">
        <f t="shared" si="1581"/>
        <v>0</v>
      </c>
      <c r="IP26" s="21">
        <f t="shared" si="1581"/>
        <v>0</v>
      </c>
      <c r="IQ26" s="19">
        <v>0.0</v>
      </c>
      <c r="IR26" s="20">
        <f t="shared" ref="IR26:IT26" si="1582">IQ26</f>
        <v>0</v>
      </c>
      <c r="IS26" s="20">
        <f t="shared" si="1582"/>
        <v>0</v>
      </c>
      <c r="IT26" s="21">
        <f t="shared" si="1582"/>
        <v>0</v>
      </c>
      <c r="IU26" s="19">
        <v>0.0</v>
      </c>
      <c r="IV26" s="20">
        <f t="shared" si="1305"/>
        <v>0</v>
      </c>
      <c r="IW26" s="20">
        <f t="shared" ref="IW26:IX26" si="1583">IV26</f>
        <v>0</v>
      </c>
      <c r="IX26" s="21">
        <f t="shared" si="1583"/>
        <v>0</v>
      </c>
      <c r="IY26" s="19">
        <v>0.0</v>
      </c>
      <c r="IZ26" s="20">
        <f t="shared" ref="IZ26:JB26" si="1584">IY26</f>
        <v>0</v>
      </c>
      <c r="JA26" s="20">
        <f t="shared" si="1584"/>
        <v>0</v>
      </c>
      <c r="JB26" s="21">
        <f t="shared" si="1584"/>
        <v>0</v>
      </c>
      <c r="JC26" s="19">
        <v>0.0</v>
      </c>
      <c r="JD26" s="20">
        <f t="shared" ref="JD26:JF26" si="1585">JC26</f>
        <v>0</v>
      </c>
      <c r="JE26" s="20">
        <f t="shared" si="1585"/>
        <v>0</v>
      </c>
      <c r="JF26" s="20">
        <f t="shared" si="1585"/>
        <v>0</v>
      </c>
      <c r="JG26" s="19">
        <v>0.0</v>
      </c>
      <c r="JH26" s="20">
        <f t="shared" ref="JH26:JJ26" si="1586">JG26</f>
        <v>0</v>
      </c>
      <c r="JI26" s="20">
        <f t="shared" si="1586"/>
        <v>0</v>
      </c>
      <c r="JJ26" s="21">
        <f t="shared" si="1586"/>
        <v>0</v>
      </c>
      <c r="JK26" s="19">
        <v>0.0</v>
      </c>
      <c r="JL26" s="20">
        <f t="shared" ref="JL26:JN26" si="1587">JK26</f>
        <v>0</v>
      </c>
      <c r="JM26" s="20">
        <f t="shared" si="1587"/>
        <v>0</v>
      </c>
      <c r="JN26" s="21">
        <f t="shared" si="1587"/>
        <v>0</v>
      </c>
      <c r="JO26" s="19">
        <v>0.0</v>
      </c>
      <c r="JP26" s="20">
        <f t="shared" ref="JP26:JR26" si="1588">JO26</f>
        <v>0</v>
      </c>
      <c r="JQ26" s="20">
        <f t="shared" si="1588"/>
        <v>0</v>
      </c>
      <c r="JR26" s="21">
        <f t="shared" si="1588"/>
        <v>0</v>
      </c>
      <c r="JS26" s="19">
        <v>0.0</v>
      </c>
      <c r="JT26" s="20">
        <f t="shared" ref="JT26:JV26" si="1589">JS26</f>
        <v>0</v>
      </c>
      <c r="JU26" s="20">
        <f t="shared" si="1589"/>
        <v>0</v>
      </c>
      <c r="JV26" s="21">
        <f t="shared" si="1589"/>
        <v>0</v>
      </c>
      <c r="JW26" s="19">
        <v>0.0</v>
      </c>
      <c r="JX26" s="20">
        <f t="shared" ref="JX26:JZ26" si="1590">JW26</f>
        <v>0</v>
      </c>
      <c r="JY26" s="20">
        <f t="shared" si="1590"/>
        <v>0</v>
      </c>
      <c r="JZ26" s="21">
        <f t="shared" si="1590"/>
        <v>0</v>
      </c>
    </row>
    <row r="27" ht="15.75" customHeight="1">
      <c r="A27" s="24" t="s">
        <v>105</v>
      </c>
      <c r="B27" s="18"/>
      <c r="C27" s="19">
        <v>3000.0</v>
      </c>
      <c r="D27" s="20">
        <v>0.0</v>
      </c>
      <c r="E27" s="20">
        <f t="shared" ref="E27:F27" si="1591">D27</f>
        <v>0</v>
      </c>
      <c r="F27" s="21">
        <f t="shared" si="1591"/>
        <v>0</v>
      </c>
      <c r="G27" s="19">
        <v>0.0</v>
      </c>
      <c r="H27" s="20">
        <f t="shared" ref="H27:J27" si="1592">G27</f>
        <v>0</v>
      </c>
      <c r="I27" s="20">
        <f t="shared" si="1592"/>
        <v>0</v>
      </c>
      <c r="J27" s="21">
        <f t="shared" si="1592"/>
        <v>0</v>
      </c>
      <c r="K27" s="19">
        <v>0.0</v>
      </c>
      <c r="L27" s="20">
        <f t="shared" ref="L27:N27" si="1593">K27</f>
        <v>0</v>
      </c>
      <c r="M27" s="20">
        <f t="shared" si="1593"/>
        <v>0</v>
      </c>
      <c r="N27" s="21">
        <f t="shared" si="1593"/>
        <v>0</v>
      </c>
      <c r="O27" s="19">
        <v>0.0</v>
      </c>
      <c r="P27" s="20">
        <f t="shared" ref="P27:R27" si="1594">O27</f>
        <v>0</v>
      </c>
      <c r="Q27" s="20">
        <f t="shared" si="1594"/>
        <v>0</v>
      </c>
      <c r="R27" s="21">
        <f t="shared" si="1594"/>
        <v>0</v>
      </c>
      <c r="S27" s="19">
        <v>0.0</v>
      </c>
      <c r="T27" s="20">
        <f t="shared" ref="T27:V27" si="1595">S27</f>
        <v>0</v>
      </c>
      <c r="U27" s="20">
        <f t="shared" si="1595"/>
        <v>0</v>
      </c>
      <c r="V27" s="21">
        <f t="shared" si="1595"/>
        <v>0</v>
      </c>
      <c r="W27" s="34">
        <v>0.0</v>
      </c>
      <c r="X27" s="20">
        <f t="shared" ref="X27:Z27" si="1596">W27</f>
        <v>0</v>
      </c>
      <c r="Y27" s="20">
        <f t="shared" si="1596"/>
        <v>0</v>
      </c>
      <c r="Z27" s="21">
        <f t="shared" si="1596"/>
        <v>0</v>
      </c>
      <c r="AA27" s="19">
        <v>0.0</v>
      </c>
      <c r="AB27" s="20">
        <f t="shared" ref="AB27:AD27" si="1597">AA27</f>
        <v>0</v>
      </c>
      <c r="AC27" s="20">
        <f t="shared" si="1597"/>
        <v>0</v>
      </c>
      <c r="AD27" s="21">
        <f t="shared" si="1597"/>
        <v>0</v>
      </c>
      <c r="AE27" s="19">
        <v>0.0</v>
      </c>
      <c r="AF27" s="20">
        <f t="shared" ref="AF27:AH27" si="1598">AE27</f>
        <v>0</v>
      </c>
      <c r="AG27" s="20">
        <f t="shared" si="1598"/>
        <v>0</v>
      </c>
      <c r="AH27" s="21">
        <f t="shared" si="1598"/>
        <v>0</v>
      </c>
      <c r="AI27" s="19">
        <v>0.0</v>
      </c>
      <c r="AJ27" s="20">
        <f t="shared" ref="AJ27:AL27" si="1599">AI27</f>
        <v>0</v>
      </c>
      <c r="AK27" s="20">
        <f t="shared" si="1599"/>
        <v>0</v>
      </c>
      <c r="AL27" s="21">
        <f t="shared" si="1599"/>
        <v>0</v>
      </c>
      <c r="AM27" s="19">
        <v>150.0</v>
      </c>
      <c r="AN27" s="20">
        <f t="shared" ref="AN27:AP27" si="1600">AM27</f>
        <v>150</v>
      </c>
      <c r="AO27" s="20">
        <f t="shared" si="1600"/>
        <v>150</v>
      </c>
      <c r="AP27" s="21">
        <f t="shared" si="1600"/>
        <v>150</v>
      </c>
      <c r="AQ27" s="19">
        <v>0.0</v>
      </c>
      <c r="AR27" s="20">
        <f t="shared" ref="AR27:AT27" si="1601">AQ27</f>
        <v>0</v>
      </c>
      <c r="AS27" s="20">
        <f t="shared" si="1601"/>
        <v>0</v>
      </c>
      <c r="AT27" s="21">
        <f t="shared" si="1601"/>
        <v>0</v>
      </c>
      <c r="AU27" s="19">
        <v>13000.0</v>
      </c>
      <c r="AV27" s="20">
        <f t="shared" ref="AV27:AX27" si="1602">AU27</f>
        <v>13000</v>
      </c>
      <c r="AW27" s="20">
        <f t="shared" si="1602"/>
        <v>13000</v>
      </c>
      <c r="AX27" s="21">
        <f t="shared" si="1602"/>
        <v>13000</v>
      </c>
      <c r="AY27" s="19">
        <v>0.0</v>
      </c>
      <c r="AZ27" s="20">
        <f t="shared" ref="AZ27:BB27" si="1603">AY27</f>
        <v>0</v>
      </c>
      <c r="BA27" s="20">
        <f t="shared" si="1603"/>
        <v>0</v>
      </c>
      <c r="BB27" s="21">
        <f t="shared" si="1603"/>
        <v>0</v>
      </c>
      <c r="BC27" s="19">
        <v>0.0</v>
      </c>
      <c r="BD27" s="20">
        <f t="shared" ref="BD27:BF27" si="1604">BC27</f>
        <v>0</v>
      </c>
      <c r="BE27" s="20">
        <f t="shared" si="1604"/>
        <v>0</v>
      </c>
      <c r="BF27" s="21">
        <f t="shared" si="1604"/>
        <v>0</v>
      </c>
      <c r="BG27" s="19">
        <v>0.0</v>
      </c>
      <c r="BH27" s="20">
        <f t="shared" ref="BH27:BJ27" si="1605">BG27</f>
        <v>0</v>
      </c>
      <c r="BI27" s="20">
        <f t="shared" si="1605"/>
        <v>0</v>
      </c>
      <c r="BJ27" s="21">
        <f t="shared" si="1605"/>
        <v>0</v>
      </c>
      <c r="BK27" s="19">
        <v>0.0</v>
      </c>
      <c r="BL27" s="20">
        <f t="shared" ref="BL27:BN27" si="1606">BK27</f>
        <v>0</v>
      </c>
      <c r="BM27" s="20">
        <f t="shared" si="1606"/>
        <v>0</v>
      </c>
      <c r="BN27" s="21">
        <f t="shared" si="1606"/>
        <v>0</v>
      </c>
      <c r="BO27" s="19">
        <v>0.0</v>
      </c>
      <c r="BP27" s="20">
        <f t="shared" ref="BP27:BR27" si="1607">BO27</f>
        <v>0</v>
      </c>
      <c r="BQ27" s="20">
        <f t="shared" si="1607"/>
        <v>0</v>
      </c>
      <c r="BR27" s="21">
        <f t="shared" si="1607"/>
        <v>0</v>
      </c>
      <c r="BS27" s="19">
        <v>0.0</v>
      </c>
      <c r="BT27" s="20">
        <f t="shared" si="1253"/>
        <v>0</v>
      </c>
      <c r="BU27" s="20">
        <f t="shared" ref="BU27:BV27" si="1608">BT27</f>
        <v>0</v>
      </c>
      <c r="BV27" s="21">
        <f t="shared" si="1608"/>
        <v>0</v>
      </c>
      <c r="BW27" s="19">
        <v>0.0</v>
      </c>
      <c r="BX27" s="20">
        <f t="shared" ref="BX27:BZ27" si="1609">BW27</f>
        <v>0</v>
      </c>
      <c r="BY27" s="20">
        <f t="shared" si="1609"/>
        <v>0</v>
      </c>
      <c r="BZ27" s="21">
        <f t="shared" si="1609"/>
        <v>0</v>
      </c>
      <c r="CA27" s="19">
        <v>0.0</v>
      </c>
      <c r="CB27" s="20">
        <f t="shared" ref="CB27:CD27" si="1610">CA27</f>
        <v>0</v>
      </c>
      <c r="CC27" s="20">
        <f t="shared" si="1610"/>
        <v>0</v>
      </c>
      <c r="CD27" s="21">
        <f t="shared" si="1610"/>
        <v>0</v>
      </c>
      <c r="CE27" s="19">
        <v>0.0</v>
      </c>
      <c r="CF27" s="20">
        <f t="shared" ref="CF27:CH27" si="1611">CE27</f>
        <v>0</v>
      </c>
      <c r="CG27" s="20">
        <f t="shared" si="1611"/>
        <v>0</v>
      </c>
      <c r="CH27" s="21">
        <f t="shared" si="1611"/>
        <v>0</v>
      </c>
      <c r="CI27" s="19">
        <v>0.0</v>
      </c>
      <c r="CJ27" s="20">
        <f t="shared" ref="CJ27:CL27" si="1612">CI27</f>
        <v>0</v>
      </c>
      <c r="CK27" s="20">
        <f t="shared" si="1612"/>
        <v>0</v>
      </c>
      <c r="CL27" s="21">
        <f t="shared" si="1612"/>
        <v>0</v>
      </c>
      <c r="CM27" s="19">
        <v>0.0</v>
      </c>
      <c r="CN27" s="20">
        <f t="shared" ref="CN27:CP27" si="1613">CM27</f>
        <v>0</v>
      </c>
      <c r="CO27" s="20">
        <f t="shared" si="1613"/>
        <v>0</v>
      </c>
      <c r="CP27" s="21">
        <f t="shared" si="1613"/>
        <v>0</v>
      </c>
      <c r="CQ27" s="19">
        <v>0.0</v>
      </c>
      <c r="CR27" s="20">
        <f t="shared" ref="CR27:CT27" si="1614">CQ27</f>
        <v>0</v>
      </c>
      <c r="CS27" s="20">
        <f t="shared" si="1614"/>
        <v>0</v>
      </c>
      <c r="CT27" s="21">
        <f t="shared" si="1614"/>
        <v>0</v>
      </c>
      <c r="CU27" s="19">
        <v>0.0</v>
      </c>
      <c r="CV27" s="20">
        <f t="shared" si="1261"/>
        <v>0</v>
      </c>
      <c r="CW27" s="20">
        <f t="shared" ref="CW27:CX27" si="1615">CV27</f>
        <v>0</v>
      </c>
      <c r="CX27" s="21">
        <f t="shared" si="1615"/>
        <v>0</v>
      </c>
      <c r="CY27" s="19">
        <v>0.0</v>
      </c>
      <c r="CZ27" s="20">
        <f t="shared" ref="CZ27:DB27" si="1616">CY27</f>
        <v>0</v>
      </c>
      <c r="DA27" s="20">
        <f t="shared" si="1616"/>
        <v>0</v>
      </c>
      <c r="DB27" s="21">
        <f t="shared" si="1616"/>
        <v>0</v>
      </c>
      <c r="DC27" s="19">
        <v>0.0</v>
      </c>
      <c r="DD27" s="20">
        <f t="shared" ref="DD27:DF27" si="1617">DC27</f>
        <v>0</v>
      </c>
      <c r="DE27" s="20">
        <f t="shared" si="1617"/>
        <v>0</v>
      </c>
      <c r="DF27" s="21">
        <f t="shared" si="1617"/>
        <v>0</v>
      </c>
      <c r="DG27" s="19">
        <v>0.0</v>
      </c>
      <c r="DH27" s="20">
        <f t="shared" ref="DH27:DJ27" si="1618">DG27</f>
        <v>0</v>
      </c>
      <c r="DI27" s="20">
        <f t="shared" si="1618"/>
        <v>0</v>
      </c>
      <c r="DJ27" s="21">
        <f t="shared" si="1618"/>
        <v>0</v>
      </c>
      <c r="DK27" s="19">
        <v>6800.0</v>
      </c>
      <c r="DL27" s="20">
        <f t="shared" ref="DL27:DN27" si="1619">DK27</f>
        <v>6800</v>
      </c>
      <c r="DM27" s="20">
        <f t="shared" si="1619"/>
        <v>6800</v>
      </c>
      <c r="DN27" s="21">
        <f t="shared" si="1619"/>
        <v>6800</v>
      </c>
      <c r="DO27" s="19">
        <v>0.0</v>
      </c>
      <c r="DP27" s="20">
        <f t="shared" ref="DP27:DR27" si="1620">DO27</f>
        <v>0</v>
      </c>
      <c r="DQ27" s="20">
        <f t="shared" si="1620"/>
        <v>0</v>
      </c>
      <c r="DR27" s="21">
        <f t="shared" si="1620"/>
        <v>0</v>
      </c>
      <c r="DS27" s="19">
        <v>0.0</v>
      </c>
      <c r="DT27" s="20">
        <f t="shared" ref="DT27:DV27" si="1621">DS27</f>
        <v>0</v>
      </c>
      <c r="DU27" s="20">
        <f t="shared" si="1621"/>
        <v>0</v>
      </c>
      <c r="DV27" s="21">
        <f t="shared" si="1621"/>
        <v>0</v>
      </c>
      <c r="DW27" s="19">
        <v>0.0</v>
      </c>
      <c r="DX27" s="20">
        <f t="shared" ref="DX27:DZ27" si="1622">DW27</f>
        <v>0</v>
      </c>
      <c r="DY27" s="20">
        <f t="shared" si="1622"/>
        <v>0</v>
      </c>
      <c r="DZ27" s="21">
        <f t="shared" si="1622"/>
        <v>0</v>
      </c>
      <c r="EA27" s="19">
        <v>0.0</v>
      </c>
      <c r="EB27" s="20">
        <f t="shared" si="1271"/>
        <v>0</v>
      </c>
      <c r="EC27" s="20">
        <f t="shared" ref="EC27:ED27" si="1623">EB27</f>
        <v>0</v>
      </c>
      <c r="ED27" s="21">
        <f t="shared" si="1623"/>
        <v>0</v>
      </c>
      <c r="EE27" s="19">
        <v>0.0</v>
      </c>
      <c r="EF27" s="20">
        <f t="shared" ref="EF27:EH27" si="1624">EE27</f>
        <v>0</v>
      </c>
      <c r="EG27" s="20">
        <f t="shared" si="1624"/>
        <v>0</v>
      </c>
      <c r="EH27" s="21">
        <f t="shared" si="1624"/>
        <v>0</v>
      </c>
      <c r="EI27" s="19">
        <v>0.0</v>
      </c>
      <c r="EJ27" s="21">
        <f t="shared" ref="EJ27:EK27" si="1625">EI27</f>
        <v>0</v>
      </c>
      <c r="EK27" s="21">
        <f t="shared" si="1625"/>
        <v>0</v>
      </c>
      <c r="EL27" s="21">
        <f t="shared" si="797"/>
        <v>0</v>
      </c>
      <c r="EM27" s="19">
        <v>0.0</v>
      </c>
      <c r="EN27" s="20">
        <f t="shared" ref="EN27:EP27" si="1626">EM27</f>
        <v>0</v>
      </c>
      <c r="EO27" s="20">
        <f t="shared" si="1626"/>
        <v>0</v>
      </c>
      <c r="EP27" s="21">
        <f t="shared" si="1626"/>
        <v>0</v>
      </c>
      <c r="EQ27" s="19">
        <v>0.0</v>
      </c>
      <c r="ER27" s="20">
        <f t="shared" ref="ER27:ET27" si="1627">EQ27</f>
        <v>0</v>
      </c>
      <c r="ES27" s="20">
        <f t="shared" si="1627"/>
        <v>0</v>
      </c>
      <c r="ET27" s="21">
        <f t="shared" si="1627"/>
        <v>0</v>
      </c>
      <c r="EU27" s="19">
        <v>0.0</v>
      </c>
      <c r="EV27" s="20">
        <f t="shared" ref="EV27:EX27" si="1628">EU27</f>
        <v>0</v>
      </c>
      <c r="EW27" s="20">
        <f t="shared" si="1628"/>
        <v>0</v>
      </c>
      <c r="EX27" s="21">
        <f t="shared" si="1628"/>
        <v>0</v>
      </c>
      <c r="EY27" s="19">
        <v>0.0</v>
      </c>
      <c r="EZ27" s="20">
        <f t="shared" ref="EZ27:FB27" si="1629">EY27</f>
        <v>0</v>
      </c>
      <c r="FA27" s="20">
        <f t="shared" si="1629"/>
        <v>0</v>
      </c>
      <c r="FB27" s="21">
        <f t="shared" si="1629"/>
        <v>0</v>
      </c>
      <c r="FC27" s="19">
        <v>0.0</v>
      </c>
      <c r="FD27" s="20">
        <f t="shared" ref="FD27:FF27" si="1630">FC27</f>
        <v>0</v>
      </c>
      <c r="FE27" s="20">
        <f t="shared" si="1630"/>
        <v>0</v>
      </c>
      <c r="FF27" s="21">
        <f t="shared" si="1630"/>
        <v>0</v>
      </c>
      <c r="FG27" s="19">
        <v>0.0</v>
      </c>
      <c r="FH27" s="20">
        <f t="shared" ref="FH27:FJ27" si="1631">FG27</f>
        <v>0</v>
      </c>
      <c r="FI27" s="20">
        <f t="shared" si="1631"/>
        <v>0</v>
      </c>
      <c r="FJ27" s="21">
        <f t="shared" si="1631"/>
        <v>0</v>
      </c>
      <c r="FK27" s="19">
        <v>0.0</v>
      </c>
      <c r="FL27" s="20">
        <f t="shared" ref="FL27:FN27" si="1632">FK27</f>
        <v>0</v>
      </c>
      <c r="FM27" s="20">
        <f t="shared" si="1632"/>
        <v>0</v>
      </c>
      <c r="FN27" s="21">
        <f t="shared" si="1632"/>
        <v>0</v>
      </c>
      <c r="FO27" s="19">
        <v>0.0</v>
      </c>
      <c r="FP27" s="20">
        <f t="shared" ref="FP27:FR27" si="1633">FO27</f>
        <v>0</v>
      </c>
      <c r="FQ27" s="20">
        <f t="shared" si="1633"/>
        <v>0</v>
      </c>
      <c r="FR27" s="21">
        <f t="shared" si="1633"/>
        <v>0</v>
      </c>
      <c r="FS27" s="19">
        <v>0.0</v>
      </c>
      <c r="FT27" s="20">
        <f t="shared" ref="FT27:FV27" si="1634">FS27</f>
        <v>0</v>
      </c>
      <c r="FU27" s="20">
        <f t="shared" si="1634"/>
        <v>0</v>
      </c>
      <c r="FV27" s="21">
        <f t="shared" si="1634"/>
        <v>0</v>
      </c>
      <c r="FW27" s="19">
        <v>0.0</v>
      </c>
      <c r="FX27" s="20">
        <f t="shared" si="1284"/>
        <v>0</v>
      </c>
      <c r="FY27" s="20">
        <f t="shared" ref="FY27:FZ27" si="1635">FX27</f>
        <v>0</v>
      </c>
      <c r="FZ27" s="21">
        <f t="shared" si="1635"/>
        <v>0</v>
      </c>
      <c r="GA27" s="19">
        <v>0.0</v>
      </c>
      <c r="GB27" s="20">
        <f t="shared" si="1286"/>
        <v>0</v>
      </c>
      <c r="GC27" s="20">
        <f t="shared" ref="GC27:GD27" si="1636">GB27</f>
        <v>0</v>
      </c>
      <c r="GD27" s="21">
        <f t="shared" si="1636"/>
        <v>0</v>
      </c>
      <c r="GE27" s="19">
        <v>0.0</v>
      </c>
      <c r="GF27" s="20">
        <f t="shared" ref="GF27:GH27" si="1637">GE27</f>
        <v>0</v>
      </c>
      <c r="GG27" s="20">
        <f t="shared" si="1637"/>
        <v>0</v>
      </c>
      <c r="GH27" s="21">
        <f t="shared" si="1637"/>
        <v>0</v>
      </c>
      <c r="GI27" s="19">
        <v>0.0</v>
      </c>
      <c r="GJ27" s="20">
        <f t="shared" ref="GJ27:GL27" si="1638">GI27</f>
        <v>0</v>
      </c>
      <c r="GK27" s="20">
        <f t="shared" si="1638"/>
        <v>0</v>
      </c>
      <c r="GL27" s="20">
        <f t="shared" si="1638"/>
        <v>0</v>
      </c>
      <c r="GM27" s="22">
        <v>0.0</v>
      </c>
      <c r="GN27" s="20">
        <f t="shared" ref="GN27:GP27" si="1639">GM27</f>
        <v>0</v>
      </c>
      <c r="GO27" s="20">
        <f t="shared" si="1639"/>
        <v>0</v>
      </c>
      <c r="GP27" s="21">
        <f t="shared" si="1639"/>
        <v>0</v>
      </c>
      <c r="GQ27" s="19">
        <v>0.0</v>
      </c>
      <c r="GR27" s="20">
        <f t="shared" ref="GR27:GT27" si="1640">GQ27</f>
        <v>0</v>
      </c>
      <c r="GS27" s="20">
        <f t="shared" si="1640"/>
        <v>0</v>
      </c>
      <c r="GT27" s="21">
        <f t="shared" si="1640"/>
        <v>0</v>
      </c>
      <c r="GU27" s="19">
        <v>0.0</v>
      </c>
      <c r="GV27" s="20">
        <f t="shared" si="1427"/>
        <v>0</v>
      </c>
      <c r="GW27" s="20">
        <f t="shared" ref="GW27:GX27" si="1641">GV27</f>
        <v>0</v>
      </c>
      <c r="GX27" s="21">
        <f t="shared" si="1641"/>
        <v>0</v>
      </c>
      <c r="GY27" s="19">
        <v>0.0</v>
      </c>
      <c r="GZ27" s="20">
        <f t="shared" ref="GZ27:HB27" si="1642">GY27</f>
        <v>0</v>
      </c>
      <c r="HA27" s="20">
        <f t="shared" si="1642"/>
        <v>0</v>
      </c>
      <c r="HB27" s="21">
        <f t="shared" si="1642"/>
        <v>0</v>
      </c>
      <c r="HC27" s="19">
        <v>0.0</v>
      </c>
      <c r="HD27" s="20">
        <f t="shared" si="1430"/>
        <v>0</v>
      </c>
      <c r="HE27" s="20">
        <f t="shared" ref="HE27:HF27" si="1643">HD27</f>
        <v>0</v>
      </c>
      <c r="HF27" s="21">
        <f t="shared" si="1643"/>
        <v>0</v>
      </c>
      <c r="HG27" s="19">
        <v>359.4</v>
      </c>
      <c r="HH27" s="20">
        <f t="shared" ref="HH27:HJ27" si="1644">HG27</f>
        <v>359.4</v>
      </c>
      <c r="HI27" s="20">
        <f t="shared" si="1644"/>
        <v>359.4</v>
      </c>
      <c r="HJ27" s="21">
        <f t="shared" si="1644"/>
        <v>359.4</v>
      </c>
      <c r="HK27" s="19">
        <v>0.0</v>
      </c>
      <c r="HL27" s="20">
        <f t="shared" ref="HL27:HN27" si="1645">HK27</f>
        <v>0</v>
      </c>
      <c r="HM27" s="20">
        <f t="shared" si="1645"/>
        <v>0</v>
      </c>
      <c r="HN27" s="21">
        <f t="shared" si="1645"/>
        <v>0</v>
      </c>
      <c r="HO27" s="19">
        <v>0.0</v>
      </c>
      <c r="HP27" s="20">
        <f t="shared" ref="HP27:HR27" si="1646">HO27</f>
        <v>0</v>
      </c>
      <c r="HQ27" s="20">
        <f t="shared" si="1646"/>
        <v>0</v>
      </c>
      <c r="HR27" s="21">
        <f t="shared" si="1646"/>
        <v>0</v>
      </c>
      <c r="HS27" s="19">
        <v>0.0</v>
      </c>
      <c r="HT27" s="20">
        <f t="shared" ref="HT27:HV27" si="1647">HS27</f>
        <v>0</v>
      </c>
      <c r="HU27" s="20">
        <f t="shared" si="1647"/>
        <v>0</v>
      </c>
      <c r="HV27" s="21">
        <f t="shared" si="1647"/>
        <v>0</v>
      </c>
      <c r="HW27" s="19">
        <v>0.0</v>
      </c>
      <c r="HX27" s="20">
        <f t="shared" ref="HX27:HZ27" si="1648">HW27</f>
        <v>0</v>
      </c>
      <c r="HY27" s="20">
        <f t="shared" si="1648"/>
        <v>0</v>
      </c>
      <c r="HZ27" s="21">
        <f t="shared" si="1648"/>
        <v>0</v>
      </c>
      <c r="IA27" s="19">
        <v>0.0</v>
      </c>
      <c r="IB27" s="20">
        <f t="shared" ref="IB27:ID27" si="1649">IA27</f>
        <v>0</v>
      </c>
      <c r="IC27" s="20">
        <f t="shared" si="1649"/>
        <v>0</v>
      </c>
      <c r="ID27" s="21">
        <f t="shared" si="1649"/>
        <v>0</v>
      </c>
      <c r="IE27" s="19">
        <v>0.0</v>
      </c>
      <c r="IF27" s="20">
        <f t="shared" ref="IF27:IH27" si="1650">IE27</f>
        <v>0</v>
      </c>
      <c r="IG27" s="20">
        <f t="shared" si="1650"/>
        <v>0</v>
      </c>
      <c r="IH27" s="21">
        <f t="shared" si="1650"/>
        <v>0</v>
      </c>
      <c r="II27" s="19">
        <v>0.0</v>
      </c>
      <c r="IJ27" s="20">
        <f t="shared" ref="IJ27:IL27" si="1651">II27</f>
        <v>0</v>
      </c>
      <c r="IK27" s="20">
        <f t="shared" si="1651"/>
        <v>0</v>
      </c>
      <c r="IL27" s="21">
        <f t="shared" si="1651"/>
        <v>0</v>
      </c>
      <c r="IM27" s="19">
        <v>0.0</v>
      </c>
      <c r="IN27" s="20">
        <f t="shared" ref="IN27:IP27" si="1652">IM27</f>
        <v>0</v>
      </c>
      <c r="IO27" s="20">
        <f t="shared" si="1652"/>
        <v>0</v>
      </c>
      <c r="IP27" s="21">
        <f t="shared" si="1652"/>
        <v>0</v>
      </c>
      <c r="IQ27" s="19">
        <v>0.0</v>
      </c>
      <c r="IR27" s="20">
        <f t="shared" ref="IR27:IT27" si="1653">IQ27</f>
        <v>0</v>
      </c>
      <c r="IS27" s="20">
        <f t="shared" si="1653"/>
        <v>0</v>
      </c>
      <c r="IT27" s="21">
        <f t="shared" si="1653"/>
        <v>0</v>
      </c>
      <c r="IU27" s="19">
        <v>1000.0</v>
      </c>
      <c r="IV27" s="20">
        <f t="shared" si="1305"/>
        <v>1000</v>
      </c>
      <c r="IW27" s="20">
        <f t="shared" ref="IW27:IX27" si="1654">IV27</f>
        <v>1000</v>
      </c>
      <c r="IX27" s="21">
        <f t="shared" si="1654"/>
        <v>1000</v>
      </c>
      <c r="IY27" s="19">
        <v>0.0</v>
      </c>
      <c r="IZ27" s="20">
        <f t="shared" ref="IZ27:JB27" si="1655">IY27</f>
        <v>0</v>
      </c>
      <c r="JA27" s="20">
        <f t="shared" si="1655"/>
        <v>0</v>
      </c>
      <c r="JB27" s="21">
        <f t="shared" si="1655"/>
        <v>0</v>
      </c>
      <c r="JC27" s="19">
        <v>0.0</v>
      </c>
      <c r="JD27" s="20">
        <f t="shared" ref="JD27:JF27" si="1656">JC27</f>
        <v>0</v>
      </c>
      <c r="JE27" s="20">
        <f t="shared" si="1656"/>
        <v>0</v>
      </c>
      <c r="JF27" s="20">
        <f t="shared" si="1656"/>
        <v>0</v>
      </c>
      <c r="JG27" s="19">
        <v>0.0</v>
      </c>
      <c r="JH27" s="20">
        <f t="shared" ref="JH27:JJ27" si="1657">JG27</f>
        <v>0</v>
      </c>
      <c r="JI27" s="20">
        <f t="shared" si="1657"/>
        <v>0</v>
      </c>
      <c r="JJ27" s="21">
        <f t="shared" si="1657"/>
        <v>0</v>
      </c>
      <c r="JK27" s="19">
        <v>0.0</v>
      </c>
      <c r="JL27" s="20">
        <f t="shared" ref="JL27:JN27" si="1658">JK27</f>
        <v>0</v>
      </c>
      <c r="JM27" s="20">
        <f t="shared" si="1658"/>
        <v>0</v>
      </c>
      <c r="JN27" s="21">
        <f t="shared" si="1658"/>
        <v>0</v>
      </c>
      <c r="JO27" s="19">
        <v>0.0</v>
      </c>
      <c r="JP27" s="20">
        <f t="shared" ref="JP27:JR27" si="1659">JO27</f>
        <v>0</v>
      </c>
      <c r="JQ27" s="20">
        <f t="shared" si="1659"/>
        <v>0</v>
      </c>
      <c r="JR27" s="21">
        <f t="shared" si="1659"/>
        <v>0</v>
      </c>
      <c r="JS27" s="19">
        <v>0.0</v>
      </c>
      <c r="JT27" s="20">
        <f t="shared" ref="JT27:JV27" si="1660">JS27</f>
        <v>0</v>
      </c>
      <c r="JU27" s="20">
        <f t="shared" si="1660"/>
        <v>0</v>
      </c>
      <c r="JV27" s="21">
        <f t="shared" si="1660"/>
        <v>0</v>
      </c>
      <c r="JW27" s="19">
        <v>0.0</v>
      </c>
      <c r="JX27" s="20">
        <f t="shared" ref="JX27:JZ27" si="1661">JW27</f>
        <v>0</v>
      </c>
      <c r="JY27" s="20">
        <f t="shared" si="1661"/>
        <v>0</v>
      </c>
      <c r="JZ27" s="21">
        <f t="shared" si="1661"/>
        <v>0</v>
      </c>
    </row>
    <row r="28" ht="15.75" customHeight="1">
      <c r="A28" s="24" t="s">
        <v>106</v>
      </c>
      <c r="B28" s="18"/>
      <c r="C28" s="19">
        <v>1000.0</v>
      </c>
      <c r="D28" s="20">
        <f t="shared" ref="D28:F28" si="1662">C28</f>
        <v>1000</v>
      </c>
      <c r="E28" s="20">
        <f t="shared" si="1662"/>
        <v>1000</v>
      </c>
      <c r="F28" s="21">
        <f t="shared" si="1662"/>
        <v>1000</v>
      </c>
      <c r="G28" s="19">
        <v>6000.0</v>
      </c>
      <c r="H28" s="20">
        <f t="shared" ref="H28:J28" si="1663">G28</f>
        <v>6000</v>
      </c>
      <c r="I28" s="20">
        <f t="shared" si="1663"/>
        <v>6000</v>
      </c>
      <c r="J28" s="21">
        <f t="shared" si="1663"/>
        <v>6000</v>
      </c>
      <c r="K28" s="19">
        <v>0.0</v>
      </c>
      <c r="L28" s="20">
        <f t="shared" ref="L28:N28" si="1664">K28</f>
        <v>0</v>
      </c>
      <c r="M28" s="20">
        <f t="shared" si="1664"/>
        <v>0</v>
      </c>
      <c r="N28" s="21">
        <f t="shared" si="1664"/>
        <v>0</v>
      </c>
      <c r="O28" s="19">
        <v>0.0</v>
      </c>
      <c r="P28" s="20">
        <f t="shared" ref="P28:R28" si="1665">O28</f>
        <v>0</v>
      </c>
      <c r="Q28" s="20">
        <f t="shared" si="1665"/>
        <v>0</v>
      </c>
      <c r="R28" s="21">
        <f t="shared" si="1665"/>
        <v>0</v>
      </c>
      <c r="S28" s="19">
        <v>600.0</v>
      </c>
      <c r="T28" s="20">
        <f t="shared" ref="T28:V28" si="1666">S28</f>
        <v>600</v>
      </c>
      <c r="U28" s="20">
        <f t="shared" si="1666"/>
        <v>600</v>
      </c>
      <c r="V28" s="21">
        <f t="shared" si="1666"/>
        <v>600</v>
      </c>
      <c r="W28" s="36">
        <v>2500.0</v>
      </c>
      <c r="X28" s="20">
        <f t="shared" ref="X28:Z28" si="1667">W28</f>
        <v>2500</v>
      </c>
      <c r="Y28" s="20">
        <f t="shared" si="1667"/>
        <v>2500</v>
      </c>
      <c r="Z28" s="21">
        <f t="shared" si="1667"/>
        <v>2500</v>
      </c>
      <c r="AA28" s="19">
        <v>0.0</v>
      </c>
      <c r="AB28" s="20">
        <f t="shared" ref="AB28:AD28" si="1668">AA28</f>
        <v>0</v>
      </c>
      <c r="AC28" s="20">
        <f t="shared" si="1668"/>
        <v>0</v>
      </c>
      <c r="AD28" s="21">
        <f t="shared" si="1668"/>
        <v>0</v>
      </c>
      <c r="AE28" s="19">
        <v>0.0</v>
      </c>
      <c r="AF28" s="20">
        <f t="shared" ref="AF28:AH28" si="1669">AE28</f>
        <v>0</v>
      </c>
      <c r="AG28" s="20">
        <f t="shared" si="1669"/>
        <v>0</v>
      </c>
      <c r="AH28" s="21">
        <f t="shared" si="1669"/>
        <v>0</v>
      </c>
      <c r="AI28" s="19">
        <v>2000.0</v>
      </c>
      <c r="AJ28" s="20">
        <v>0.0</v>
      </c>
      <c r="AK28" s="20">
        <v>2000.0</v>
      </c>
      <c r="AL28" s="21">
        <v>0.0</v>
      </c>
      <c r="AM28" s="19">
        <v>250.0</v>
      </c>
      <c r="AN28" s="20">
        <f t="shared" ref="AN28:AP28" si="1670">AM28</f>
        <v>250</v>
      </c>
      <c r="AO28" s="20">
        <f t="shared" si="1670"/>
        <v>250</v>
      </c>
      <c r="AP28" s="21">
        <f t="shared" si="1670"/>
        <v>250</v>
      </c>
      <c r="AQ28" s="19">
        <v>1000.0</v>
      </c>
      <c r="AR28" s="20">
        <f t="shared" ref="AR28:AT28" si="1671">AQ28</f>
        <v>1000</v>
      </c>
      <c r="AS28" s="20">
        <f t="shared" si="1671"/>
        <v>1000</v>
      </c>
      <c r="AT28" s="21">
        <f t="shared" si="1671"/>
        <v>1000</v>
      </c>
      <c r="AU28" s="19">
        <v>12000.0</v>
      </c>
      <c r="AV28" s="20">
        <f t="shared" ref="AV28:AX28" si="1672">AU28</f>
        <v>12000</v>
      </c>
      <c r="AW28" s="20">
        <f t="shared" si="1672"/>
        <v>12000</v>
      </c>
      <c r="AX28" s="21">
        <f t="shared" si="1672"/>
        <v>12000</v>
      </c>
      <c r="AY28" s="19">
        <v>500.0</v>
      </c>
      <c r="AZ28" s="20">
        <f t="shared" ref="AZ28:BB28" si="1673">AY28</f>
        <v>500</v>
      </c>
      <c r="BA28" s="20">
        <f t="shared" si="1673"/>
        <v>500</v>
      </c>
      <c r="BB28" s="21">
        <f t="shared" si="1673"/>
        <v>500</v>
      </c>
      <c r="BC28" s="19">
        <v>500.0</v>
      </c>
      <c r="BD28" s="20">
        <f t="shared" ref="BD28:BF28" si="1674">BC28</f>
        <v>500</v>
      </c>
      <c r="BE28" s="20">
        <f t="shared" si="1674"/>
        <v>500</v>
      </c>
      <c r="BF28" s="21">
        <f t="shared" si="1674"/>
        <v>500</v>
      </c>
      <c r="BG28" s="19">
        <v>0.0</v>
      </c>
      <c r="BH28" s="20">
        <f t="shared" ref="BH28:BJ28" si="1675">BG28</f>
        <v>0</v>
      </c>
      <c r="BI28" s="20">
        <f t="shared" si="1675"/>
        <v>0</v>
      </c>
      <c r="BJ28" s="21">
        <f t="shared" si="1675"/>
        <v>0</v>
      </c>
      <c r="BK28" s="19">
        <v>0.0</v>
      </c>
      <c r="BL28" s="20">
        <f t="shared" ref="BL28:BN28" si="1676">BK28</f>
        <v>0</v>
      </c>
      <c r="BM28" s="20">
        <f t="shared" si="1676"/>
        <v>0</v>
      </c>
      <c r="BN28" s="21">
        <f t="shared" si="1676"/>
        <v>0</v>
      </c>
      <c r="BO28" s="19">
        <v>200.0</v>
      </c>
      <c r="BP28" s="20">
        <f t="shared" ref="BP28:BR28" si="1677">BO28</f>
        <v>200</v>
      </c>
      <c r="BQ28" s="20">
        <f t="shared" si="1677"/>
        <v>200</v>
      </c>
      <c r="BR28" s="21">
        <f t="shared" si="1677"/>
        <v>200</v>
      </c>
      <c r="BS28" s="19">
        <v>10000.0</v>
      </c>
      <c r="BT28" s="20">
        <v>4966.3</v>
      </c>
      <c r="BU28" s="20">
        <f t="shared" ref="BU28:BV28" si="1678">BT28</f>
        <v>4966.3</v>
      </c>
      <c r="BV28" s="21">
        <f t="shared" si="1678"/>
        <v>4966.3</v>
      </c>
      <c r="BW28" s="19">
        <v>0.0</v>
      </c>
      <c r="BX28" s="20">
        <f t="shared" ref="BX28:BZ28" si="1679">BW28</f>
        <v>0</v>
      </c>
      <c r="BY28" s="20">
        <f t="shared" si="1679"/>
        <v>0</v>
      </c>
      <c r="BZ28" s="21">
        <f t="shared" si="1679"/>
        <v>0</v>
      </c>
      <c r="CA28" s="19">
        <v>0.0</v>
      </c>
      <c r="CB28" s="20">
        <f t="shared" ref="CB28:CD28" si="1680">CA28</f>
        <v>0</v>
      </c>
      <c r="CC28" s="20">
        <f t="shared" si="1680"/>
        <v>0</v>
      </c>
      <c r="CD28" s="21">
        <f t="shared" si="1680"/>
        <v>0</v>
      </c>
      <c r="CE28" s="19">
        <v>1000.0</v>
      </c>
      <c r="CF28" s="20">
        <f t="shared" ref="CF28:CH28" si="1681">CE28</f>
        <v>1000</v>
      </c>
      <c r="CG28" s="20">
        <f t="shared" si="1681"/>
        <v>1000</v>
      </c>
      <c r="CH28" s="21">
        <f t="shared" si="1681"/>
        <v>1000</v>
      </c>
      <c r="CI28" s="19">
        <v>0.0</v>
      </c>
      <c r="CJ28" s="20">
        <f t="shared" ref="CJ28:CL28" si="1682">CI28</f>
        <v>0</v>
      </c>
      <c r="CK28" s="20">
        <f t="shared" si="1682"/>
        <v>0</v>
      </c>
      <c r="CL28" s="21">
        <f t="shared" si="1682"/>
        <v>0</v>
      </c>
      <c r="CM28" s="19">
        <v>400.0</v>
      </c>
      <c r="CN28" s="20">
        <f t="shared" ref="CN28:CP28" si="1683">CM28</f>
        <v>400</v>
      </c>
      <c r="CO28" s="20">
        <f t="shared" si="1683"/>
        <v>400</v>
      </c>
      <c r="CP28" s="21">
        <f t="shared" si="1683"/>
        <v>400</v>
      </c>
      <c r="CQ28" s="19">
        <v>0.0</v>
      </c>
      <c r="CR28" s="20">
        <f t="shared" ref="CR28:CT28" si="1684">CQ28</f>
        <v>0</v>
      </c>
      <c r="CS28" s="20">
        <f t="shared" si="1684"/>
        <v>0</v>
      </c>
      <c r="CT28" s="21">
        <f t="shared" si="1684"/>
        <v>0</v>
      </c>
      <c r="CU28" s="19">
        <v>500.0</v>
      </c>
      <c r="CV28" s="20">
        <f t="shared" si="1261"/>
        <v>500</v>
      </c>
      <c r="CW28" s="20">
        <f t="shared" ref="CW28:CX28" si="1685">CV28</f>
        <v>500</v>
      </c>
      <c r="CX28" s="21">
        <f t="shared" si="1685"/>
        <v>500</v>
      </c>
      <c r="CY28" s="19">
        <v>0.0</v>
      </c>
      <c r="CZ28" s="20">
        <f t="shared" ref="CZ28:DB28" si="1686">CY28</f>
        <v>0</v>
      </c>
      <c r="DA28" s="20">
        <f t="shared" si="1686"/>
        <v>0</v>
      </c>
      <c r="DB28" s="21">
        <f t="shared" si="1686"/>
        <v>0</v>
      </c>
      <c r="DC28" s="19">
        <v>0.0</v>
      </c>
      <c r="DD28" s="20">
        <f t="shared" ref="DD28:DF28" si="1687">DC28</f>
        <v>0</v>
      </c>
      <c r="DE28" s="20">
        <f t="shared" si="1687"/>
        <v>0</v>
      </c>
      <c r="DF28" s="21">
        <f t="shared" si="1687"/>
        <v>0</v>
      </c>
      <c r="DG28" s="19">
        <v>2000.0</v>
      </c>
      <c r="DH28" s="20">
        <f t="shared" ref="DH28:DJ28" si="1688">DG28</f>
        <v>2000</v>
      </c>
      <c r="DI28" s="20">
        <f t="shared" si="1688"/>
        <v>2000</v>
      </c>
      <c r="DJ28" s="21">
        <f t="shared" si="1688"/>
        <v>2000</v>
      </c>
      <c r="DK28" s="19">
        <v>0.0</v>
      </c>
      <c r="DL28" s="20">
        <f t="shared" ref="DL28:DN28" si="1689">DK28</f>
        <v>0</v>
      </c>
      <c r="DM28" s="20">
        <f t="shared" si="1689"/>
        <v>0</v>
      </c>
      <c r="DN28" s="21">
        <f t="shared" si="1689"/>
        <v>0</v>
      </c>
      <c r="DO28" s="19">
        <v>0.0</v>
      </c>
      <c r="DP28" s="20">
        <f t="shared" ref="DP28:DR28" si="1690">DO28</f>
        <v>0</v>
      </c>
      <c r="DQ28" s="20">
        <f t="shared" si="1690"/>
        <v>0</v>
      </c>
      <c r="DR28" s="21">
        <f t="shared" si="1690"/>
        <v>0</v>
      </c>
      <c r="DS28" s="19">
        <v>500.0</v>
      </c>
      <c r="DT28" s="20">
        <f t="shared" ref="DT28:DV28" si="1691">DS28</f>
        <v>500</v>
      </c>
      <c r="DU28" s="20">
        <f t="shared" si="1691"/>
        <v>500</v>
      </c>
      <c r="DV28" s="21">
        <f t="shared" si="1691"/>
        <v>500</v>
      </c>
      <c r="DW28" s="19">
        <v>0.0</v>
      </c>
      <c r="DX28" s="20">
        <f t="shared" ref="DX28:DZ28" si="1692">DW28</f>
        <v>0</v>
      </c>
      <c r="DY28" s="20">
        <f t="shared" si="1692"/>
        <v>0</v>
      </c>
      <c r="DZ28" s="21">
        <f t="shared" si="1692"/>
        <v>0</v>
      </c>
      <c r="EA28" s="19">
        <v>200.0</v>
      </c>
      <c r="EB28" s="20">
        <v>200.0</v>
      </c>
      <c r="EC28" s="20">
        <f t="shared" ref="EC28:ED28" si="1693">EB28</f>
        <v>200</v>
      </c>
      <c r="ED28" s="21">
        <f t="shared" si="1693"/>
        <v>200</v>
      </c>
      <c r="EE28" s="19">
        <v>0.0</v>
      </c>
      <c r="EF28" s="20">
        <f t="shared" ref="EF28:EH28" si="1694">EE28</f>
        <v>0</v>
      </c>
      <c r="EG28" s="20">
        <f t="shared" si="1694"/>
        <v>0</v>
      </c>
      <c r="EH28" s="21">
        <f t="shared" si="1694"/>
        <v>0</v>
      </c>
      <c r="EI28" s="19">
        <v>0.0</v>
      </c>
      <c r="EJ28" s="21">
        <f t="shared" ref="EJ28:EK28" si="1695">EI28</f>
        <v>0</v>
      </c>
      <c r="EK28" s="21">
        <f t="shared" si="1695"/>
        <v>0</v>
      </c>
      <c r="EL28" s="21">
        <f t="shared" si="797"/>
        <v>0</v>
      </c>
      <c r="EM28" s="19">
        <v>1000.0</v>
      </c>
      <c r="EN28" s="20">
        <f t="shared" ref="EN28:EP28" si="1696">EM28</f>
        <v>1000</v>
      </c>
      <c r="EO28" s="20">
        <f t="shared" si="1696"/>
        <v>1000</v>
      </c>
      <c r="EP28" s="21">
        <f t="shared" si="1696"/>
        <v>1000</v>
      </c>
      <c r="EQ28" s="19">
        <v>1000.0</v>
      </c>
      <c r="ER28" s="20">
        <f t="shared" ref="ER28:ET28" si="1697">EQ28</f>
        <v>1000</v>
      </c>
      <c r="ES28" s="20">
        <f t="shared" si="1697"/>
        <v>1000</v>
      </c>
      <c r="ET28" s="21">
        <f t="shared" si="1697"/>
        <v>1000</v>
      </c>
      <c r="EU28" s="19">
        <v>0.0</v>
      </c>
      <c r="EV28" s="20">
        <f t="shared" ref="EV28:EX28" si="1698">EU28</f>
        <v>0</v>
      </c>
      <c r="EW28" s="20">
        <f t="shared" si="1698"/>
        <v>0</v>
      </c>
      <c r="EX28" s="21">
        <f t="shared" si="1698"/>
        <v>0</v>
      </c>
      <c r="EY28" s="19">
        <v>0.0</v>
      </c>
      <c r="EZ28" s="20">
        <f t="shared" ref="EZ28:FB28" si="1699">EY28</f>
        <v>0</v>
      </c>
      <c r="FA28" s="20">
        <f t="shared" si="1699"/>
        <v>0</v>
      </c>
      <c r="FB28" s="21">
        <f t="shared" si="1699"/>
        <v>0</v>
      </c>
      <c r="FC28" s="19">
        <v>0.0</v>
      </c>
      <c r="FD28" s="20">
        <f t="shared" ref="FD28:FF28" si="1700">FC28</f>
        <v>0</v>
      </c>
      <c r="FE28" s="20">
        <f t="shared" si="1700"/>
        <v>0</v>
      </c>
      <c r="FF28" s="21">
        <f t="shared" si="1700"/>
        <v>0</v>
      </c>
      <c r="FG28" s="19">
        <v>0.0</v>
      </c>
      <c r="FH28" s="20">
        <f t="shared" ref="FH28:FJ28" si="1701">FG28</f>
        <v>0</v>
      </c>
      <c r="FI28" s="20">
        <f t="shared" si="1701"/>
        <v>0</v>
      </c>
      <c r="FJ28" s="21">
        <f t="shared" si="1701"/>
        <v>0</v>
      </c>
      <c r="FK28" s="19">
        <v>0.0</v>
      </c>
      <c r="FL28" s="20">
        <f t="shared" ref="FL28:FN28" si="1702">FK28</f>
        <v>0</v>
      </c>
      <c r="FM28" s="20">
        <f t="shared" si="1702"/>
        <v>0</v>
      </c>
      <c r="FN28" s="21">
        <f t="shared" si="1702"/>
        <v>0</v>
      </c>
      <c r="FO28" s="19">
        <v>300.0</v>
      </c>
      <c r="FP28" s="20">
        <v>0.0</v>
      </c>
      <c r="FQ28" s="20">
        <f t="shared" ref="FQ28:FR28" si="1703">FP28</f>
        <v>0</v>
      </c>
      <c r="FR28" s="21">
        <f t="shared" si="1703"/>
        <v>0</v>
      </c>
      <c r="FS28" s="19">
        <v>0.0</v>
      </c>
      <c r="FT28" s="20">
        <f t="shared" ref="FT28:FV28" si="1704">FS28</f>
        <v>0</v>
      </c>
      <c r="FU28" s="20">
        <f t="shared" si="1704"/>
        <v>0</v>
      </c>
      <c r="FV28" s="21">
        <f t="shared" si="1704"/>
        <v>0</v>
      </c>
      <c r="FW28" s="19">
        <v>200.0</v>
      </c>
      <c r="FX28" s="20">
        <f t="shared" si="1284"/>
        <v>200</v>
      </c>
      <c r="FY28" s="20">
        <f t="shared" ref="FY28:FZ28" si="1705">FX28</f>
        <v>200</v>
      </c>
      <c r="FZ28" s="21">
        <f t="shared" si="1705"/>
        <v>200</v>
      </c>
      <c r="GA28" s="19">
        <v>0.0</v>
      </c>
      <c r="GB28" s="20">
        <f t="shared" si="1286"/>
        <v>0</v>
      </c>
      <c r="GC28" s="20">
        <f t="shared" ref="GC28:GD28" si="1706">GB28</f>
        <v>0</v>
      </c>
      <c r="GD28" s="21">
        <f t="shared" si="1706"/>
        <v>0</v>
      </c>
      <c r="GE28" s="19">
        <v>0.0</v>
      </c>
      <c r="GF28" s="20">
        <f t="shared" ref="GF28:GH28" si="1707">GE28</f>
        <v>0</v>
      </c>
      <c r="GG28" s="20">
        <f t="shared" si="1707"/>
        <v>0</v>
      </c>
      <c r="GH28" s="21">
        <f t="shared" si="1707"/>
        <v>0</v>
      </c>
      <c r="GI28" s="19">
        <v>0.0</v>
      </c>
      <c r="GJ28" s="20">
        <f t="shared" ref="GJ28:GL28" si="1708">GI28</f>
        <v>0</v>
      </c>
      <c r="GK28" s="20">
        <f t="shared" si="1708"/>
        <v>0</v>
      </c>
      <c r="GL28" s="20">
        <f t="shared" si="1708"/>
        <v>0</v>
      </c>
      <c r="GM28" s="22">
        <v>0.0</v>
      </c>
      <c r="GN28" s="20">
        <f t="shared" ref="GN28:GP28" si="1709">GM28</f>
        <v>0</v>
      </c>
      <c r="GO28" s="20">
        <f t="shared" si="1709"/>
        <v>0</v>
      </c>
      <c r="GP28" s="21">
        <f t="shared" si="1709"/>
        <v>0</v>
      </c>
      <c r="GQ28" s="19">
        <v>0.0</v>
      </c>
      <c r="GR28" s="20">
        <f t="shared" ref="GR28:GT28" si="1710">GQ28</f>
        <v>0</v>
      </c>
      <c r="GS28" s="20">
        <f t="shared" si="1710"/>
        <v>0</v>
      </c>
      <c r="GT28" s="21">
        <f t="shared" si="1710"/>
        <v>0</v>
      </c>
      <c r="GU28" s="19">
        <v>200.0</v>
      </c>
      <c r="GV28" s="20">
        <v>0.0</v>
      </c>
      <c r="GW28" s="20">
        <f t="shared" ref="GW28:GX28" si="1711">GV28</f>
        <v>0</v>
      </c>
      <c r="GX28" s="21">
        <f t="shared" si="1711"/>
        <v>0</v>
      </c>
      <c r="GY28" s="19">
        <v>0.0</v>
      </c>
      <c r="GZ28" s="20">
        <f t="shared" ref="GZ28:HB28" si="1712">GY28</f>
        <v>0</v>
      </c>
      <c r="HA28" s="20">
        <f t="shared" si="1712"/>
        <v>0</v>
      </c>
      <c r="HB28" s="21">
        <f t="shared" si="1712"/>
        <v>0</v>
      </c>
      <c r="HC28" s="19">
        <v>0.0</v>
      </c>
      <c r="HD28" s="20">
        <f t="shared" si="1430"/>
        <v>0</v>
      </c>
      <c r="HE28" s="20">
        <f t="shared" ref="HE28:HF28" si="1713">HD28</f>
        <v>0</v>
      </c>
      <c r="HF28" s="21">
        <f t="shared" si="1713"/>
        <v>0</v>
      </c>
      <c r="HG28" s="19">
        <v>0.0</v>
      </c>
      <c r="HH28" s="20">
        <f t="shared" ref="HH28:HJ28" si="1714">HG28</f>
        <v>0</v>
      </c>
      <c r="HI28" s="20">
        <f t="shared" si="1714"/>
        <v>0</v>
      </c>
      <c r="HJ28" s="21">
        <f t="shared" si="1714"/>
        <v>0</v>
      </c>
      <c r="HK28" s="19">
        <v>150.0</v>
      </c>
      <c r="HL28" s="20">
        <f t="shared" ref="HL28:HN28" si="1715">HK28</f>
        <v>150</v>
      </c>
      <c r="HM28" s="20">
        <f t="shared" si="1715"/>
        <v>150</v>
      </c>
      <c r="HN28" s="21">
        <f t="shared" si="1715"/>
        <v>150</v>
      </c>
      <c r="HO28" s="19">
        <v>500.0</v>
      </c>
      <c r="HP28" s="20">
        <f t="shared" ref="HP28:HR28" si="1716">HO28</f>
        <v>500</v>
      </c>
      <c r="HQ28" s="20">
        <f t="shared" si="1716"/>
        <v>500</v>
      </c>
      <c r="HR28" s="21">
        <f t="shared" si="1716"/>
        <v>500</v>
      </c>
      <c r="HS28" s="19">
        <v>0.0</v>
      </c>
      <c r="HT28" s="20">
        <f t="shared" ref="HT28:HV28" si="1717">HS28</f>
        <v>0</v>
      </c>
      <c r="HU28" s="20">
        <f t="shared" si="1717"/>
        <v>0</v>
      </c>
      <c r="HV28" s="21">
        <f t="shared" si="1717"/>
        <v>0</v>
      </c>
      <c r="HW28" s="19">
        <v>1000.0</v>
      </c>
      <c r="HX28" s="20">
        <f t="shared" ref="HX28:HZ28" si="1718">HW28</f>
        <v>1000</v>
      </c>
      <c r="HY28" s="20">
        <f t="shared" si="1718"/>
        <v>1000</v>
      </c>
      <c r="HZ28" s="21">
        <f t="shared" si="1718"/>
        <v>1000</v>
      </c>
      <c r="IA28" s="19">
        <v>400.0</v>
      </c>
      <c r="IB28" s="20">
        <f t="shared" ref="IB28:IB41" si="1789">IA28</f>
        <v>400</v>
      </c>
      <c r="IC28" s="20">
        <v>0.0</v>
      </c>
      <c r="ID28" s="21">
        <f>IC28</f>
        <v>0</v>
      </c>
      <c r="IE28" s="19">
        <v>0.0</v>
      </c>
      <c r="IF28" s="20">
        <f t="shared" ref="IF28:IH28" si="1719">IE28</f>
        <v>0</v>
      </c>
      <c r="IG28" s="20">
        <f t="shared" si="1719"/>
        <v>0</v>
      </c>
      <c r="IH28" s="21">
        <f t="shared" si="1719"/>
        <v>0</v>
      </c>
      <c r="II28" s="19">
        <v>0.0</v>
      </c>
      <c r="IJ28" s="20">
        <f t="shared" ref="IJ28:IL28" si="1720">II28</f>
        <v>0</v>
      </c>
      <c r="IK28" s="20">
        <f t="shared" si="1720"/>
        <v>0</v>
      </c>
      <c r="IL28" s="21">
        <f t="shared" si="1720"/>
        <v>0</v>
      </c>
      <c r="IM28" s="19">
        <v>0.0</v>
      </c>
      <c r="IN28" s="20">
        <f t="shared" ref="IN28:IP28" si="1721">IM28</f>
        <v>0</v>
      </c>
      <c r="IO28" s="20">
        <f t="shared" si="1721"/>
        <v>0</v>
      </c>
      <c r="IP28" s="21">
        <f t="shared" si="1721"/>
        <v>0</v>
      </c>
      <c r="IQ28" s="19">
        <v>75.0</v>
      </c>
      <c r="IR28" s="20">
        <f t="shared" ref="IR28:IT28" si="1722">IQ28</f>
        <v>75</v>
      </c>
      <c r="IS28" s="20">
        <f t="shared" si="1722"/>
        <v>75</v>
      </c>
      <c r="IT28" s="21">
        <f t="shared" si="1722"/>
        <v>75</v>
      </c>
      <c r="IU28" s="19">
        <v>0.0</v>
      </c>
      <c r="IV28" s="20">
        <f t="shared" si="1305"/>
        <v>0</v>
      </c>
      <c r="IW28" s="20">
        <f t="shared" ref="IW28:IX28" si="1723">IV28</f>
        <v>0</v>
      </c>
      <c r="IX28" s="21">
        <f t="shared" si="1723"/>
        <v>0</v>
      </c>
      <c r="IY28" s="19">
        <v>0.0</v>
      </c>
      <c r="IZ28" s="20">
        <f t="shared" ref="IZ28:JB28" si="1724">IY28</f>
        <v>0</v>
      </c>
      <c r="JA28" s="20">
        <f t="shared" si="1724"/>
        <v>0</v>
      </c>
      <c r="JB28" s="21">
        <f t="shared" si="1724"/>
        <v>0</v>
      </c>
      <c r="JC28" s="19">
        <v>0.0</v>
      </c>
      <c r="JD28" s="20">
        <f t="shared" ref="JD28:JF28" si="1725">JC28</f>
        <v>0</v>
      </c>
      <c r="JE28" s="20">
        <f t="shared" si="1725"/>
        <v>0</v>
      </c>
      <c r="JF28" s="20">
        <f t="shared" si="1725"/>
        <v>0</v>
      </c>
      <c r="JG28" s="19">
        <v>0.0</v>
      </c>
      <c r="JH28" s="20">
        <f t="shared" ref="JH28:JJ28" si="1726">JG28</f>
        <v>0</v>
      </c>
      <c r="JI28" s="20">
        <f t="shared" si="1726"/>
        <v>0</v>
      </c>
      <c r="JJ28" s="21">
        <f t="shared" si="1726"/>
        <v>0</v>
      </c>
      <c r="JK28" s="19">
        <v>100.0</v>
      </c>
      <c r="JL28" s="20">
        <f t="shared" ref="JL28:JN28" si="1727">JK28</f>
        <v>100</v>
      </c>
      <c r="JM28" s="20">
        <f t="shared" si="1727"/>
        <v>100</v>
      </c>
      <c r="JN28" s="21">
        <f t="shared" si="1727"/>
        <v>100</v>
      </c>
      <c r="JO28" s="19">
        <v>0.0</v>
      </c>
      <c r="JP28" s="20">
        <f t="shared" ref="JP28:JR28" si="1728">JO28</f>
        <v>0</v>
      </c>
      <c r="JQ28" s="20">
        <f t="shared" si="1728"/>
        <v>0</v>
      </c>
      <c r="JR28" s="21">
        <f t="shared" si="1728"/>
        <v>0</v>
      </c>
      <c r="JS28" s="19">
        <v>0.0</v>
      </c>
      <c r="JT28" s="20">
        <f t="shared" ref="JT28:JV28" si="1729">JS28</f>
        <v>0</v>
      </c>
      <c r="JU28" s="20">
        <f t="shared" si="1729"/>
        <v>0</v>
      </c>
      <c r="JV28" s="21">
        <f t="shared" si="1729"/>
        <v>0</v>
      </c>
      <c r="JW28" s="19">
        <v>0.0</v>
      </c>
      <c r="JX28" s="20">
        <f t="shared" ref="JX28:JZ28" si="1730">JW28</f>
        <v>0</v>
      </c>
      <c r="JY28" s="20">
        <f t="shared" si="1730"/>
        <v>0</v>
      </c>
      <c r="JZ28" s="21">
        <f t="shared" si="1730"/>
        <v>0</v>
      </c>
    </row>
    <row r="29" ht="15.75" customHeight="1">
      <c r="A29" s="24" t="s">
        <v>107</v>
      </c>
      <c r="B29" s="18"/>
      <c r="C29" s="19">
        <v>2000.0</v>
      </c>
      <c r="D29" s="20">
        <f t="shared" ref="D29:F29" si="1731">C29</f>
        <v>2000</v>
      </c>
      <c r="E29" s="20">
        <f t="shared" si="1731"/>
        <v>2000</v>
      </c>
      <c r="F29" s="21">
        <f t="shared" si="1731"/>
        <v>2000</v>
      </c>
      <c r="G29" s="19">
        <v>0.0</v>
      </c>
      <c r="H29" s="20">
        <f t="shared" ref="H29:J29" si="1732">G29</f>
        <v>0</v>
      </c>
      <c r="I29" s="20">
        <f t="shared" si="1732"/>
        <v>0</v>
      </c>
      <c r="J29" s="21">
        <f t="shared" si="1732"/>
        <v>0</v>
      </c>
      <c r="K29" s="19">
        <v>0.0</v>
      </c>
      <c r="L29" s="20">
        <f t="shared" ref="L29:N29" si="1733">K29</f>
        <v>0</v>
      </c>
      <c r="M29" s="20">
        <f t="shared" si="1733"/>
        <v>0</v>
      </c>
      <c r="N29" s="21">
        <f t="shared" si="1733"/>
        <v>0</v>
      </c>
      <c r="O29" s="19">
        <v>0.0</v>
      </c>
      <c r="P29" s="20">
        <f t="shared" ref="P29:R29" si="1734">O29</f>
        <v>0</v>
      </c>
      <c r="Q29" s="20">
        <f t="shared" si="1734"/>
        <v>0</v>
      </c>
      <c r="R29" s="21">
        <f t="shared" si="1734"/>
        <v>0</v>
      </c>
      <c r="S29" s="19">
        <v>0.0</v>
      </c>
      <c r="T29" s="20">
        <f t="shared" ref="T29:V29" si="1735">S29</f>
        <v>0</v>
      </c>
      <c r="U29" s="20">
        <f t="shared" si="1735"/>
        <v>0</v>
      </c>
      <c r="V29" s="21">
        <f t="shared" si="1735"/>
        <v>0</v>
      </c>
      <c r="W29" s="36">
        <v>0.0</v>
      </c>
      <c r="X29" s="20">
        <f t="shared" ref="X29:Z29" si="1736">W29</f>
        <v>0</v>
      </c>
      <c r="Y29" s="20">
        <f t="shared" si="1736"/>
        <v>0</v>
      </c>
      <c r="Z29" s="21">
        <f t="shared" si="1736"/>
        <v>0</v>
      </c>
      <c r="AA29" s="19">
        <v>0.0</v>
      </c>
      <c r="AB29" s="20">
        <f t="shared" ref="AB29:AD29" si="1737">AA29</f>
        <v>0</v>
      </c>
      <c r="AC29" s="20">
        <f t="shared" si="1737"/>
        <v>0</v>
      </c>
      <c r="AD29" s="21">
        <f t="shared" si="1737"/>
        <v>0</v>
      </c>
      <c r="AE29" s="19">
        <v>0.0</v>
      </c>
      <c r="AF29" s="20">
        <f t="shared" ref="AF29:AH29" si="1738">AE29</f>
        <v>0</v>
      </c>
      <c r="AG29" s="20">
        <f t="shared" si="1738"/>
        <v>0</v>
      </c>
      <c r="AH29" s="21">
        <f t="shared" si="1738"/>
        <v>0</v>
      </c>
      <c r="AI29" s="19">
        <v>0.0</v>
      </c>
      <c r="AJ29" s="20">
        <f t="shared" ref="AJ29:AL29" si="1739">AI29</f>
        <v>0</v>
      </c>
      <c r="AK29" s="20">
        <f t="shared" si="1739"/>
        <v>0</v>
      </c>
      <c r="AL29" s="21">
        <f t="shared" si="1739"/>
        <v>0</v>
      </c>
      <c r="AM29" s="19">
        <v>0.0</v>
      </c>
      <c r="AN29" s="20">
        <f t="shared" ref="AN29:AP29" si="1740">AM29</f>
        <v>0</v>
      </c>
      <c r="AO29" s="20">
        <f t="shared" si="1740"/>
        <v>0</v>
      </c>
      <c r="AP29" s="21">
        <f t="shared" si="1740"/>
        <v>0</v>
      </c>
      <c r="AQ29" s="19">
        <v>0.0</v>
      </c>
      <c r="AR29" s="20">
        <f t="shared" ref="AR29:AT29" si="1741">AQ29</f>
        <v>0</v>
      </c>
      <c r="AS29" s="20">
        <f t="shared" si="1741"/>
        <v>0</v>
      </c>
      <c r="AT29" s="21">
        <f t="shared" si="1741"/>
        <v>0</v>
      </c>
      <c r="AU29" s="19">
        <v>100.0</v>
      </c>
      <c r="AV29" s="20">
        <f t="shared" ref="AV29:AX29" si="1742">AU29</f>
        <v>100</v>
      </c>
      <c r="AW29" s="20">
        <f t="shared" si="1742"/>
        <v>100</v>
      </c>
      <c r="AX29" s="21">
        <f t="shared" si="1742"/>
        <v>100</v>
      </c>
      <c r="AY29" s="19">
        <v>0.0</v>
      </c>
      <c r="AZ29" s="20">
        <f t="shared" ref="AZ29:BB29" si="1743">AY29</f>
        <v>0</v>
      </c>
      <c r="BA29" s="20">
        <f t="shared" si="1743"/>
        <v>0</v>
      </c>
      <c r="BB29" s="21">
        <f t="shared" si="1743"/>
        <v>0</v>
      </c>
      <c r="BC29" s="19">
        <v>0.0</v>
      </c>
      <c r="BD29" s="20">
        <f t="shared" ref="BD29:BF29" si="1744">BC29</f>
        <v>0</v>
      </c>
      <c r="BE29" s="20">
        <f t="shared" si="1744"/>
        <v>0</v>
      </c>
      <c r="BF29" s="21">
        <f t="shared" si="1744"/>
        <v>0</v>
      </c>
      <c r="BG29" s="19">
        <v>0.0</v>
      </c>
      <c r="BH29" s="20">
        <f t="shared" ref="BH29:BJ29" si="1745">BG29</f>
        <v>0</v>
      </c>
      <c r="BI29" s="20">
        <f t="shared" si="1745"/>
        <v>0</v>
      </c>
      <c r="BJ29" s="21">
        <f t="shared" si="1745"/>
        <v>0</v>
      </c>
      <c r="BK29" s="19">
        <v>0.0</v>
      </c>
      <c r="BL29" s="20">
        <f t="shared" ref="BL29:BN29" si="1746">BK29</f>
        <v>0</v>
      </c>
      <c r="BM29" s="20">
        <f t="shared" si="1746"/>
        <v>0</v>
      </c>
      <c r="BN29" s="21">
        <f t="shared" si="1746"/>
        <v>0</v>
      </c>
      <c r="BO29" s="19">
        <v>0.0</v>
      </c>
      <c r="BP29" s="20">
        <f t="shared" ref="BP29:BR29" si="1747">BO29</f>
        <v>0</v>
      </c>
      <c r="BQ29" s="20">
        <f t="shared" si="1747"/>
        <v>0</v>
      </c>
      <c r="BR29" s="21">
        <f t="shared" si="1747"/>
        <v>0</v>
      </c>
      <c r="BS29" s="19">
        <v>0.0</v>
      </c>
      <c r="BT29" s="20">
        <f t="shared" ref="BT29:BV29" si="1748">BS29</f>
        <v>0</v>
      </c>
      <c r="BU29" s="20">
        <f t="shared" si="1748"/>
        <v>0</v>
      </c>
      <c r="BV29" s="21">
        <f t="shared" si="1748"/>
        <v>0</v>
      </c>
      <c r="BW29" s="19">
        <v>0.0</v>
      </c>
      <c r="BX29" s="20">
        <f t="shared" ref="BX29:BZ29" si="1749">BW29</f>
        <v>0</v>
      </c>
      <c r="BY29" s="20">
        <f t="shared" si="1749"/>
        <v>0</v>
      </c>
      <c r="BZ29" s="21">
        <f t="shared" si="1749"/>
        <v>0</v>
      </c>
      <c r="CA29" s="19">
        <v>0.0</v>
      </c>
      <c r="CB29" s="20">
        <f t="shared" ref="CB29:CD29" si="1750">CA29</f>
        <v>0</v>
      </c>
      <c r="CC29" s="20">
        <f t="shared" si="1750"/>
        <v>0</v>
      </c>
      <c r="CD29" s="21">
        <f t="shared" si="1750"/>
        <v>0</v>
      </c>
      <c r="CE29" s="19">
        <v>0.0</v>
      </c>
      <c r="CF29" s="20">
        <f t="shared" ref="CF29:CH29" si="1751">CE29</f>
        <v>0</v>
      </c>
      <c r="CG29" s="20">
        <f t="shared" si="1751"/>
        <v>0</v>
      </c>
      <c r="CH29" s="21">
        <f t="shared" si="1751"/>
        <v>0</v>
      </c>
      <c r="CI29" s="19">
        <v>0.0</v>
      </c>
      <c r="CJ29" s="20">
        <f t="shared" ref="CJ29:CL29" si="1752">CI29</f>
        <v>0</v>
      </c>
      <c r="CK29" s="20">
        <f t="shared" si="1752"/>
        <v>0</v>
      </c>
      <c r="CL29" s="21">
        <f t="shared" si="1752"/>
        <v>0</v>
      </c>
      <c r="CM29" s="19">
        <v>0.0</v>
      </c>
      <c r="CN29" s="20">
        <f t="shared" ref="CN29:CP29" si="1753">CM29</f>
        <v>0</v>
      </c>
      <c r="CO29" s="20">
        <f t="shared" si="1753"/>
        <v>0</v>
      </c>
      <c r="CP29" s="21">
        <f t="shared" si="1753"/>
        <v>0</v>
      </c>
      <c r="CQ29" s="19">
        <v>0.0</v>
      </c>
      <c r="CR29" s="20">
        <f t="shared" ref="CR29:CT29" si="1754">CQ29</f>
        <v>0</v>
      </c>
      <c r="CS29" s="20">
        <f t="shared" si="1754"/>
        <v>0</v>
      </c>
      <c r="CT29" s="21">
        <f t="shared" si="1754"/>
        <v>0</v>
      </c>
      <c r="CU29" s="19">
        <v>0.0</v>
      </c>
      <c r="CV29" s="20">
        <f t="shared" si="1261"/>
        <v>0</v>
      </c>
      <c r="CW29" s="20">
        <f t="shared" ref="CW29:CX29" si="1755">CV29</f>
        <v>0</v>
      </c>
      <c r="CX29" s="21">
        <f t="shared" si="1755"/>
        <v>0</v>
      </c>
      <c r="CY29" s="19">
        <v>0.0</v>
      </c>
      <c r="CZ29" s="20">
        <f t="shared" ref="CZ29:DB29" si="1756">CY29</f>
        <v>0</v>
      </c>
      <c r="DA29" s="20">
        <f t="shared" si="1756"/>
        <v>0</v>
      </c>
      <c r="DB29" s="21">
        <f t="shared" si="1756"/>
        <v>0</v>
      </c>
      <c r="DC29" s="19">
        <v>0.0</v>
      </c>
      <c r="DD29" s="20">
        <f t="shared" ref="DD29:DF29" si="1757">DC29</f>
        <v>0</v>
      </c>
      <c r="DE29" s="20">
        <f t="shared" si="1757"/>
        <v>0</v>
      </c>
      <c r="DF29" s="21">
        <f t="shared" si="1757"/>
        <v>0</v>
      </c>
      <c r="DG29" s="19">
        <v>0.0</v>
      </c>
      <c r="DH29" s="20">
        <f t="shared" ref="DH29:DJ29" si="1758">DG29</f>
        <v>0</v>
      </c>
      <c r="DI29" s="20">
        <f t="shared" si="1758"/>
        <v>0</v>
      </c>
      <c r="DJ29" s="21">
        <f t="shared" si="1758"/>
        <v>0</v>
      </c>
      <c r="DK29" s="19">
        <v>0.0</v>
      </c>
      <c r="DL29" s="20">
        <f t="shared" ref="DL29:DN29" si="1759">DK29</f>
        <v>0</v>
      </c>
      <c r="DM29" s="20">
        <f t="shared" si="1759"/>
        <v>0</v>
      </c>
      <c r="DN29" s="21">
        <f t="shared" si="1759"/>
        <v>0</v>
      </c>
      <c r="DO29" s="19">
        <v>0.0</v>
      </c>
      <c r="DP29" s="20">
        <f t="shared" ref="DP29:DR29" si="1760">DO29</f>
        <v>0</v>
      </c>
      <c r="DQ29" s="20">
        <f t="shared" si="1760"/>
        <v>0</v>
      </c>
      <c r="DR29" s="21">
        <f t="shared" si="1760"/>
        <v>0</v>
      </c>
      <c r="DS29" s="19">
        <v>0.0</v>
      </c>
      <c r="DT29" s="20">
        <f t="shared" ref="DT29:DV29" si="1761">DS29</f>
        <v>0</v>
      </c>
      <c r="DU29" s="20">
        <f t="shared" si="1761"/>
        <v>0</v>
      </c>
      <c r="DV29" s="21">
        <f t="shared" si="1761"/>
        <v>0</v>
      </c>
      <c r="DW29" s="19">
        <v>0.0</v>
      </c>
      <c r="DX29" s="20">
        <f t="shared" ref="DX29:DZ29" si="1762">DW29</f>
        <v>0</v>
      </c>
      <c r="DY29" s="20">
        <f t="shared" si="1762"/>
        <v>0</v>
      </c>
      <c r="DZ29" s="21">
        <f t="shared" si="1762"/>
        <v>0</v>
      </c>
      <c r="EA29" s="19">
        <v>0.0</v>
      </c>
      <c r="EB29" s="20">
        <f t="shared" ref="EB29:ED29" si="1763">EA29</f>
        <v>0</v>
      </c>
      <c r="EC29" s="20">
        <f t="shared" si="1763"/>
        <v>0</v>
      </c>
      <c r="ED29" s="21">
        <f t="shared" si="1763"/>
        <v>0</v>
      </c>
      <c r="EE29" s="19">
        <v>0.0</v>
      </c>
      <c r="EF29" s="20">
        <f t="shared" ref="EF29:EH29" si="1764">EE29</f>
        <v>0</v>
      </c>
      <c r="EG29" s="20">
        <f t="shared" si="1764"/>
        <v>0</v>
      </c>
      <c r="EH29" s="21">
        <f t="shared" si="1764"/>
        <v>0</v>
      </c>
      <c r="EI29" s="19">
        <v>0.0</v>
      </c>
      <c r="EJ29" s="21">
        <f t="shared" ref="EJ29:EK29" si="1765">EI29</f>
        <v>0</v>
      </c>
      <c r="EK29" s="21">
        <f t="shared" si="1765"/>
        <v>0</v>
      </c>
      <c r="EL29" s="21">
        <f t="shared" si="797"/>
        <v>0</v>
      </c>
      <c r="EM29" s="19">
        <v>0.0</v>
      </c>
      <c r="EN29" s="20">
        <f t="shared" ref="EN29:EP29" si="1766">EM29</f>
        <v>0</v>
      </c>
      <c r="EO29" s="20">
        <f t="shared" si="1766"/>
        <v>0</v>
      </c>
      <c r="EP29" s="21">
        <f t="shared" si="1766"/>
        <v>0</v>
      </c>
      <c r="EQ29" s="19">
        <v>0.0</v>
      </c>
      <c r="ER29" s="20">
        <f t="shared" ref="ER29:ET29" si="1767">EQ29</f>
        <v>0</v>
      </c>
      <c r="ES29" s="20">
        <f t="shared" si="1767"/>
        <v>0</v>
      </c>
      <c r="ET29" s="21">
        <f t="shared" si="1767"/>
        <v>0</v>
      </c>
      <c r="EU29" s="19">
        <v>0.0</v>
      </c>
      <c r="EV29" s="20">
        <f t="shared" ref="EV29:EX29" si="1768">EU29</f>
        <v>0</v>
      </c>
      <c r="EW29" s="20">
        <f t="shared" si="1768"/>
        <v>0</v>
      </c>
      <c r="EX29" s="21">
        <f t="shared" si="1768"/>
        <v>0</v>
      </c>
      <c r="EY29" s="19">
        <v>0.0</v>
      </c>
      <c r="EZ29" s="20">
        <f t="shared" ref="EZ29:FB29" si="1769">EY29</f>
        <v>0</v>
      </c>
      <c r="FA29" s="20">
        <f t="shared" si="1769"/>
        <v>0</v>
      </c>
      <c r="FB29" s="21">
        <f t="shared" si="1769"/>
        <v>0</v>
      </c>
      <c r="FC29" s="19">
        <v>0.0</v>
      </c>
      <c r="FD29" s="20">
        <f t="shared" ref="FD29:FF29" si="1770">FC29</f>
        <v>0</v>
      </c>
      <c r="FE29" s="20">
        <f t="shared" si="1770"/>
        <v>0</v>
      </c>
      <c r="FF29" s="21">
        <f t="shared" si="1770"/>
        <v>0</v>
      </c>
      <c r="FG29" s="19">
        <v>0.0</v>
      </c>
      <c r="FH29" s="20">
        <f t="shared" ref="FH29:FJ29" si="1771">FG29</f>
        <v>0</v>
      </c>
      <c r="FI29" s="20">
        <f t="shared" si="1771"/>
        <v>0</v>
      </c>
      <c r="FJ29" s="21">
        <f t="shared" si="1771"/>
        <v>0</v>
      </c>
      <c r="FK29" s="19">
        <v>0.0</v>
      </c>
      <c r="FL29" s="20">
        <f t="shared" ref="FL29:FN29" si="1772">FK29</f>
        <v>0</v>
      </c>
      <c r="FM29" s="20">
        <f t="shared" si="1772"/>
        <v>0</v>
      </c>
      <c r="FN29" s="21">
        <f t="shared" si="1772"/>
        <v>0</v>
      </c>
      <c r="FO29" s="19">
        <v>0.0</v>
      </c>
      <c r="FP29" s="20">
        <f t="shared" ref="FP29:FR29" si="1773">FO29</f>
        <v>0</v>
      </c>
      <c r="FQ29" s="20">
        <f t="shared" si="1773"/>
        <v>0</v>
      </c>
      <c r="FR29" s="21">
        <f t="shared" si="1773"/>
        <v>0</v>
      </c>
      <c r="FS29" s="19">
        <v>0.0</v>
      </c>
      <c r="FT29" s="20">
        <f t="shared" ref="FT29:FV29" si="1774">FS29</f>
        <v>0</v>
      </c>
      <c r="FU29" s="20">
        <f t="shared" si="1774"/>
        <v>0</v>
      </c>
      <c r="FV29" s="21">
        <f t="shared" si="1774"/>
        <v>0</v>
      </c>
      <c r="FW29" s="19">
        <v>0.0</v>
      </c>
      <c r="FX29" s="20">
        <f t="shared" si="1284"/>
        <v>0</v>
      </c>
      <c r="FY29" s="20">
        <f t="shared" ref="FY29:FZ29" si="1775">FX29</f>
        <v>0</v>
      </c>
      <c r="FZ29" s="21">
        <f t="shared" si="1775"/>
        <v>0</v>
      </c>
      <c r="GA29" s="19">
        <v>0.0</v>
      </c>
      <c r="GB29" s="20">
        <f t="shared" si="1286"/>
        <v>0</v>
      </c>
      <c r="GC29" s="20">
        <f t="shared" ref="GC29:GD29" si="1776">GB29</f>
        <v>0</v>
      </c>
      <c r="GD29" s="21">
        <f t="shared" si="1776"/>
        <v>0</v>
      </c>
      <c r="GE29" s="19">
        <v>0.0</v>
      </c>
      <c r="GF29" s="20">
        <f t="shared" ref="GF29:GH29" si="1777">GE29</f>
        <v>0</v>
      </c>
      <c r="GG29" s="20">
        <f t="shared" si="1777"/>
        <v>0</v>
      </c>
      <c r="GH29" s="21">
        <f t="shared" si="1777"/>
        <v>0</v>
      </c>
      <c r="GI29" s="19">
        <v>0.0</v>
      </c>
      <c r="GJ29" s="20">
        <f t="shared" ref="GJ29:GL29" si="1778">GI29</f>
        <v>0</v>
      </c>
      <c r="GK29" s="20">
        <f t="shared" si="1778"/>
        <v>0</v>
      </c>
      <c r="GL29" s="20">
        <f t="shared" si="1778"/>
        <v>0</v>
      </c>
      <c r="GM29" s="22">
        <v>0.0</v>
      </c>
      <c r="GN29" s="20">
        <f t="shared" ref="GN29:GP29" si="1779">GM29</f>
        <v>0</v>
      </c>
      <c r="GO29" s="20">
        <f t="shared" si="1779"/>
        <v>0</v>
      </c>
      <c r="GP29" s="21">
        <f t="shared" si="1779"/>
        <v>0</v>
      </c>
      <c r="GQ29" s="19">
        <v>0.0</v>
      </c>
      <c r="GR29" s="20">
        <f t="shared" ref="GR29:GT29" si="1780">GQ29</f>
        <v>0</v>
      </c>
      <c r="GS29" s="20">
        <f t="shared" si="1780"/>
        <v>0</v>
      </c>
      <c r="GT29" s="21">
        <f t="shared" si="1780"/>
        <v>0</v>
      </c>
      <c r="GU29" s="19">
        <v>0.0</v>
      </c>
      <c r="GV29" s="20">
        <f t="shared" ref="GV29:GX29" si="1781">GU29</f>
        <v>0</v>
      </c>
      <c r="GW29" s="20">
        <f t="shared" si="1781"/>
        <v>0</v>
      </c>
      <c r="GX29" s="21">
        <f t="shared" si="1781"/>
        <v>0</v>
      </c>
      <c r="GY29" s="19">
        <v>0.0</v>
      </c>
      <c r="GZ29" s="20">
        <f t="shared" ref="GZ29:HB29" si="1782">GY29</f>
        <v>0</v>
      </c>
      <c r="HA29" s="20">
        <f t="shared" si="1782"/>
        <v>0</v>
      </c>
      <c r="HB29" s="21">
        <f t="shared" si="1782"/>
        <v>0</v>
      </c>
      <c r="HC29" s="19">
        <v>0.0</v>
      </c>
      <c r="HD29" s="20">
        <f t="shared" si="1430"/>
        <v>0</v>
      </c>
      <c r="HE29" s="20">
        <f t="shared" ref="HE29:HF29" si="1783">HD29</f>
        <v>0</v>
      </c>
      <c r="HF29" s="21">
        <f t="shared" si="1783"/>
        <v>0</v>
      </c>
      <c r="HG29" s="19">
        <v>0.0</v>
      </c>
      <c r="HH29" s="20">
        <f t="shared" ref="HH29:HJ29" si="1784">HG29</f>
        <v>0</v>
      </c>
      <c r="HI29" s="20">
        <f t="shared" si="1784"/>
        <v>0</v>
      </c>
      <c r="HJ29" s="21">
        <f t="shared" si="1784"/>
        <v>0</v>
      </c>
      <c r="HK29" s="19">
        <v>0.0</v>
      </c>
      <c r="HL29" s="20">
        <f t="shared" ref="HL29:HN29" si="1785">HK29</f>
        <v>0</v>
      </c>
      <c r="HM29" s="20">
        <f t="shared" si="1785"/>
        <v>0</v>
      </c>
      <c r="HN29" s="21">
        <f t="shared" si="1785"/>
        <v>0</v>
      </c>
      <c r="HO29" s="19">
        <v>0.0</v>
      </c>
      <c r="HP29" s="20">
        <f t="shared" ref="HP29:HR29" si="1786">HO29</f>
        <v>0</v>
      </c>
      <c r="HQ29" s="20">
        <f t="shared" si="1786"/>
        <v>0</v>
      </c>
      <c r="HR29" s="21">
        <f t="shared" si="1786"/>
        <v>0</v>
      </c>
      <c r="HS29" s="19">
        <v>0.0</v>
      </c>
      <c r="HT29" s="20">
        <f t="shared" ref="HT29:HV29" si="1787">HS29</f>
        <v>0</v>
      </c>
      <c r="HU29" s="20">
        <f t="shared" si="1787"/>
        <v>0</v>
      </c>
      <c r="HV29" s="21">
        <f t="shared" si="1787"/>
        <v>0</v>
      </c>
      <c r="HW29" s="19">
        <v>0.0</v>
      </c>
      <c r="HX29" s="20">
        <f t="shared" ref="HX29:HZ29" si="1788">HW29</f>
        <v>0</v>
      </c>
      <c r="HY29" s="20">
        <f t="shared" si="1788"/>
        <v>0</v>
      </c>
      <c r="HZ29" s="21">
        <f t="shared" si="1788"/>
        <v>0</v>
      </c>
      <c r="IA29" s="19">
        <v>0.0</v>
      </c>
      <c r="IB29" s="20">
        <f t="shared" si="1789"/>
        <v>0</v>
      </c>
      <c r="IC29" s="20">
        <f t="shared" ref="IC29:ID29" si="1790">IB29</f>
        <v>0</v>
      </c>
      <c r="ID29" s="21">
        <f t="shared" si="1790"/>
        <v>0</v>
      </c>
      <c r="IE29" s="19">
        <v>0.0</v>
      </c>
      <c r="IF29" s="20">
        <f t="shared" ref="IF29:IH29" si="1791">IE29</f>
        <v>0</v>
      </c>
      <c r="IG29" s="20">
        <f t="shared" si="1791"/>
        <v>0</v>
      </c>
      <c r="IH29" s="21">
        <f t="shared" si="1791"/>
        <v>0</v>
      </c>
      <c r="II29" s="19">
        <v>0.0</v>
      </c>
      <c r="IJ29" s="20">
        <f t="shared" ref="IJ29:IL29" si="1792">II29</f>
        <v>0</v>
      </c>
      <c r="IK29" s="20">
        <f t="shared" si="1792"/>
        <v>0</v>
      </c>
      <c r="IL29" s="21">
        <f t="shared" si="1792"/>
        <v>0</v>
      </c>
      <c r="IM29" s="19">
        <v>0.0</v>
      </c>
      <c r="IN29" s="20">
        <f t="shared" ref="IN29:IP29" si="1793">IM29</f>
        <v>0</v>
      </c>
      <c r="IO29" s="20">
        <f t="shared" si="1793"/>
        <v>0</v>
      </c>
      <c r="IP29" s="21">
        <f t="shared" si="1793"/>
        <v>0</v>
      </c>
      <c r="IQ29" s="19">
        <v>0.0</v>
      </c>
      <c r="IR29" s="20">
        <f t="shared" ref="IR29:IT29" si="1794">IQ29</f>
        <v>0</v>
      </c>
      <c r="IS29" s="20">
        <f t="shared" si="1794"/>
        <v>0</v>
      </c>
      <c r="IT29" s="21">
        <f t="shared" si="1794"/>
        <v>0</v>
      </c>
      <c r="IU29" s="19">
        <v>0.0</v>
      </c>
      <c r="IV29" s="20">
        <f t="shared" si="1305"/>
        <v>0</v>
      </c>
      <c r="IW29" s="20">
        <f t="shared" ref="IW29:IX29" si="1795">IV29</f>
        <v>0</v>
      </c>
      <c r="IX29" s="21">
        <f t="shared" si="1795"/>
        <v>0</v>
      </c>
      <c r="IY29" s="19">
        <v>0.0</v>
      </c>
      <c r="IZ29" s="20">
        <f t="shared" ref="IZ29:JB29" si="1796">IY29</f>
        <v>0</v>
      </c>
      <c r="JA29" s="20">
        <f t="shared" si="1796"/>
        <v>0</v>
      </c>
      <c r="JB29" s="21">
        <f t="shared" si="1796"/>
        <v>0</v>
      </c>
      <c r="JC29" s="19">
        <v>1000.0</v>
      </c>
      <c r="JD29" s="20">
        <f t="shared" ref="JD29:JF29" si="1797">JC29</f>
        <v>1000</v>
      </c>
      <c r="JE29" s="20">
        <f t="shared" si="1797"/>
        <v>1000</v>
      </c>
      <c r="JF29" s="20">
        <f t="shared" si="1797"/>
        <v>1000</v>
      </c>
      <c r="JG29" s="19">
        <v>0.0</v>
      </c>
      <c r="JH29" s="20">
        <f t="shared" ref="JH29:JJ29" si="1798">JG29</f>
        <v>0</v>
      </c>
      <c r="JI29" s="20">
        <f t="shared" si="1798"/>
        <v>0</v>
      </c>
      <c r="JJ29" s="21">
        <f t="shared" si="1798"/>
        <v>0</v>
      </c>
      <c r="JK29" s="19">
        <v>0.0</v>
      </c>
      <c r="JL29" s="20">
        <f t="shared" ref="JL29:JN29" si="1799">JK29</f>
        <v>0</v>
      </c>
      <c r="JM29" s="20">
        <f t="shared" si="1799"/>
        <v>0</v>
      </c>
      <c r="JN29" s="21">
        <f t="shared" si="1799"/>
        <v>0</v>
      </c>
      <c r="JO29" s="19">
        <v>0.0</v>
      </c>
      <c r="JP29" s="20">
        <f t="shared" ref="JP29:JR29" si="1800">JO29</f>
        <v>0</v>
      </c>
      <c r="JQ29" s="20">
        <f t="shared" si="1800"/>
        <v>0</v>
      </c>
      <c r="JR29" s="21">
        <f t="shared" si="1800"/>
        <v>0</v>
      </c>
      <c r="JS29" s="19">
        <v>0.0</v>
      </c>
      <c r="JT29" s="20">
        <f t="shared" ref="JT29:JV29" si="1801">JS29</f>
        <v>0</v>
      </c>
      <c r="JU29" s="20">
        <f t="shared" si="1801"/>
        <v>0</v>
      </c>
      <c r="JV29" s="21">
        <f t="shared" si="1801"/>
        <v>0</v>
      </c>
      <c r="JW29" s="19">
        <v>0.0</v>
      </c>
      <c r="JX29" s="20">
        <f t="shared" ref="JX29:JZ29" si="1802">JW29</f>
        <v>0</v>
      </c>
      <c r="JY29" s="20">
        <f t="shared" si="1802"/>
        <v>0</v>
      </c>
      <c r="JZ29" s="21">
        <f t="shared" si="1802"/>
        <v>0</v>
      </c>
    </row>
    <row r="30" ht="15.75" customHeight="1">
      <c r="A30" s="24" t="s">
        <v>108</v>
      </c>
      <c r="B30" s="18"/>
      <c r="C30" s="19">
        <v>12000.0</v>
      </c>
      <c r="D30" s="20">
        <v>5000.0</v>
      </c>
      <c r="E30" s="20">
        <f t="shared" ref="E30:F30" si="1803">D30</f>
        <v>5000</v>
      </c>
      <c r="F30" s="21">
        <f t="shared" si="1803"/>
        <v>5000</v>
      </c>
      <c r="G30" s="19">
        <v>500.0</v>
      </c>
      <c r="H30" s="20">
        <f t="shared" ref="H30:J30" si="1804">G30</f>
        <v>500</v>
      </c>
      <c r="I30" s="20">
        <f t="shared" si="1804"/>
        <v>500</v>
      </c>
      <c r="J30" s="21">
        <f t="shared" si="1804"/>
        <v>500</v>
      </c>
      <c r="K30" s="19">
        <v>0.0</v>
      </c>
      <c r="L30" s="20">
        <f t="shared" ref="L30:N30" si="1805">K30</f>
        <v>0</v>
      </c>
      <c r="M30" s="20">
        <f t="shared" si="1805"/>
        <v>0</v>
      </c>
      <c r="N30" s="21">
        <f t="shared" si="1805"/>
        <v>0</v>
      </c>
      <c r="O30" s="19">
        <v>1000.0</v>
      </c>
      <c r="P30" s="20">
        <f t="shared" ref="P30:R30" si="1806">O30</f>
        <v>1000</v>
      </c>
      <c r="Q30" s="20">
        <f t="shared" si="1806"/>
        <v>1000</v>
      </c>
      <c r="R30" s="21">
        <f t="shared" si="1806"/>
        <v>1000</v>
      </c>
      <c r="S30" s="19">
        <v>2000.0</v>
      </c>
      <c r="T30" s="20">
        <f t="shared" ref="T30:V30" si="1807">S30</f>
        <v>2000</v>
      </c>
      <c r="U30" s="20">
        <f t="shared" si="1807"/>
        <v>2000</v>
      </c>
      <c r="V30" s="21">
        <f t="shared" si="1807"/>
        <v>2000</v>
      </c>
      <c r="W30" s="36">
        <v>7500.0</v>
      </c>
      <c r="X30" s="20">
        <f t="shared" ref="X30:Z30" si="1808">W30</f>
        <v>7500</v>
      </c>
      <c r="Y30" s="20">
        <f t="shared" si="1808"/>
        <v>7500</v>
      </c>
      <c r="Z30" s="21">
        <f t="shared" si="1808"/>
        <v>7500</v>
      </c>
      <c r="AA30" s="19">
        <v>20000.0</v>
      </c>
      <c r="AB30" s="20">
        <f t="shared" ref="AB30:AD30" si="1809">AA30</f>
        <v>20000</v>
      </c>
      <c r="AC30" s="20">
        <f t="shared" si="1809"/>
        <v>20000</v>
      </c>
      <c r="AD30" s="21">
        <f t="shared" si="1809"/>
        <v>20000</v>
      </c>
      <c r="AE30" s="19">
        <v>0.0</v>
      </c>
      <c r="AF30" s="20">
        <f t="shared" ref="AF30:AH30" si="1810">AE30</f>
        <v>0</v>
      </c>
      <c r="AG30" s="20">
        <f t="shared" si="1810"/>
        <v>0</v>
      </c>
      <c r="AH30" s="21">
        <f t="shared" si="1810"/>
        <v>0</v>
      </c>
      <c r="AI30" s="19">
        <v>2239.0</v>
      </c>
      <c r="AJ30" s="20">
        <v>0.0</v>
      </c>
      <c r="AK30" s="20">
        <v>2239.0</v>
      </c>
      <c r="AL30" s="21">
        <f>AK30</f>
        <v>2239</v>
      </c>
      <c r="AM30" s="19">
        <v>65000.0</v>
      </c>
      <c r="AN30" s="20">
        <f t="shared" ref="AN30:AP30" si="1811">AM30</f>
        <v>65000</v>
      </c>
      <c r="AO30" s="20">
        <f t="shared" si="1811"/>
        <v>65000</v>
      </c>
      <c r="AP30" s="21">
        <f t="shared" si="1811"/>
        <v>65000</v>
      </c>
      <c r="AQ30" s="19">
        <v>1000.0</v>
      </c>
      <c r="AR30" s="20">
        <f t="shared" ref="AR30:AT30" si="1812">AQ30</f>
        <v>1000</v>
      </c>
      <c r="AS30" s="20">
        <f t="shared" si="1812"/>
        <v>1000</v>
      </c>
      <c r="AT30" s="21">
        <f t="shared" si="1812"/>
        <v>1000</v>
      </c>
      <c r="AU30" s="19">
        <v>5000.0</v>
      </c>
      <c r="AV30" s="20">
        <f t="shared" ref="AV30:AX30" si="1813">AU30</f>
        <v>5000</v>
      </c>
      <c r="AW30" s="20">
        <f t="shared" si="1813"/>
        <v>5000</v>
      </c>
      <c r="AX30" s="21">
        <f t="shared" si="1813"/>
        <v>5000</v>
      </c>
      <c r="AY30" s="19">
        <v>450.0</v>
      </c>
      <c r="AZ30" s="20">
        <f t="shared" ref="AZ30:BB30" si="1814">AY30</f>
        <v>450</v>
      </c>
      <c r="BA30" s="20">
        <f t="shared" si="1814"/>
        <v>450</v>
      </c>
      <c r="BB30" s="21">
        <f t="shared" si="1814"/>
        <v>450</v>
      </c>
      <c r="BC30" s="19">
        <v>5000.0</v>
      </c>
      <c r="BD30" s="20">
        <f t="shared" ref="BD30:BF30" si="1815">BC30</f>
        <v>5000</v>
      </c>
      <c r="BE30" s="20">
        <f t="shared" si="1815"/>
        <v>5000</v>
      </c>
      <c r="BF30" s="21">
        <f t="shared" si="1815"/>
        <v>5000</v>
      </c>
      <c r="BG30" s="19">
        <v>500.0</v>
      </c>
      <c r="BH30" s="20">
        <v>0.0</v>
      </c>
      <c r="BI30" s="20">
        <f t="shared" ref="BI30:BJ30" si="1816">BH30</f>
        <v>0</v>
      </c>
      <c r="BJ30" s="21">
        <f t="shared" si="1816"/>
        <v>0</v>
      </c>
      <c r="BK30" s="19">
        <v>3000.0</v>
      </c>
      <c r="BL30" s="20">
        <f t="shared" ref="BL30:BN30" si="1817">BK30</f>
        <v>3000</v>
      </c>
      <c r="BM30" s="20">
        <f t="shared" si="1817"/>
        <v>3000</v>
      </c>
      <c r="BN30" s="21">
        <f t="shared" si="1817"/>
        <v>3000</v>
      </c>
      <c r="BO30" s="19">
        <v>5000.0</v>
      </c>
      <c r="BP30" s="20">
        <f t="shared" ref="BP30:BR30" si="1818">BO30</f>
        <v>5000</v>
      </c>
      <c r="BQ30" s="20">
        <f t="shared" si="1818"/>
        <v>5000</v>
      </c>
      <c r="BR30" s="21">
        <f t="shared" si="1818"/>
        <v>5000</v>
      </c>
      <c r="BS30" s="19">
        <v>500.0</v>
      </c>
      <c r="BT30" s="20">
        <f t="shared" ref="BT30:BV30" si="1819">BS30</f>
        <v>500</v>
      </c>
      <c r="BU30" s="20">
        <f t="shared" si="1819"/>
        <v>500</v>
      </c>
      <c r="BV30" s="21">
        <f t="shared" si="1819"/>
        <v>500</v>
      </c>
      <c r="BW30" s="19">
        <v>0.0</v>
      </c>
      <c r="BX30" s="20">
        <f t="shared" ref="BX30:BZ30" si="1820">BW30</f>
        <v>0</v>
      </c>
      <c r="BY30" s="20">
        <f t="shared" si="1820"/>
        <v>0</v>
      </c>
      <c r="BZ30" s="21">
        <f t="shared" si="1820"/>
        <v>0</v>
      </c>
      <c r="CA30" s="19">
        <v>600.0</v>
      </c>
      <c r="CB30" s="20">
        <f t="shared" ref="CB30:CD30" si="1821">CA30</f>
        <v>600</v>
      </c>
      <c r="CC30" s="20">
        <f t="shared" si="1821"/>
        <v>600</v>
      </c>
      <c r="CD30" s="21">
        <f t="shared" si="1821"/>
        <v>600</v>
      </c>
      <c r="CE30" s="19">
        <v>0.0</v>
      </c>
      <c r="CF30" s="20">
        <f t="shared" ref="CF30:CH30" si="1822">CE30</f>
        <v>0</v>
      </c>
      <c r="CG30" s="20">
        <f t="shared" si="1822"/>
        <v>0</v>
      </c>
      <c r="CH30" s="21">
        <f t="shared" si="1822"/>
        <v>0</v>
      </c>
      <c r="CI30" s="19">
        <v>0.0</v>
      </c>
      <c r="CJ30" s="20">
        <f t="shared" ref="CJ30:CL30" si="1823">CI30</f>
        <v>0</v>
      </c>
      <c r="CK30" s="20">
        <f t="shared" si="1823"/>
        <v>0</v>
      </c>
      <c r="CL30" s="21">
        <f t="shared" si="1823"/>
        <v>0</v>
      </c>
      <c r="CM30" s="19">
        <v>2139.9</v>
      </c>
      <c r="CN30" s="20">
        <f t="shared" ref="CN30:CP30" si="1824">CM30</f>
        <v>2139.9</v>
      </c>
      <c r="CO30" s="20">
        <f t="shared" si="1824"/>
        <v>2139.9</v>
      </c>
      <c r="CP30" s="21">
        <f t="shared" si="1824"/>
        <v>2139.9</v>
      </c>
      <c r="CQ30" s="19">
        <v>0.0</v>
      </c>
      <c r="CR30" s="20">
        <f t="shared" ref="CR30:CT30" si="1825">CQ30</f>
        <v>0</v>
      </c>
      <c r="CS30" s="20">
        <f t="shared" si="1825"/>
        <v>0</v>
      </c>
      <c r="CT30" s="21">
        <f t="shared" si="1825"/>
        <v>0</v>
      </c>
      <c r="CU30" s="19">
        <v>17000.0</v>
      </c>
      <c r="CV30" s="20">
        <v>1000.0</v>
      </c>
      <c r="CW30" s="20">
        <f t="shared" ref="CW30:CX30" si="1826">CV30</f>
        <v>1000</v>
      </c>
      <c r="CX30" s="21">
        <f t="shared" si="1826"/>
        <v>1000</v>
      </c>
      <c r="CY30" s="19">
        <v>0.0</v>
      </c>
      <c r="CZ30" s="20">
        <f t="shared" ref="CZ30:DB30" si="1827">CY30</f>
        <v>0</v>
      </c>
      <c r="DA30" s="20">
        <f t="shared" si="1827"/>
        <v>0</v>
      </c>
      <c r="DB30" s="21">
        <f t="shared" si="1827"/>
        <v>0</v>
      </c>
      <c r="DC30" s="19">
        <v>0.0</v>
      </c>
      <c r="DD30" s="20">
        <f t="shared" ref="DD30:DF30" si="1828">DC30</f>
        <v>0</v>
      </c>
      <c r="DE30" s="20">
        <f t="shared" si="1828"/>
        <v>0</v>
      </c>
      <c r="DF30" s="21">
        <f t="shared" si="1828"/>
        <v>0</v>
      </c>
      <c r="DG30" s="19">
        <v>0.0</v>
      </c>
      <c r="DH30" s="20">
        <f t="shared" ref="DH30:DJ30" si="1829">DG30</f>
        <v>0</v>
      </c>
      <c r="DI30" s="20">
        <f t="shared" si="1829"/>
        <v>0</v>
      </c>
      <c r="DJ30" s="21">
        <f t="shared" si="1829"/>
        <v>0</v>
      </c>
      <c r="DK30" s="19">
        <v>100.0</v>
      </c>
      <c r="DL30" s="20">
        <f t="shared" ref="DL30:DN30" si="1830">DK30</f>
        <v>100</v>
      </c>
      <c r="DM30" s="20">
        <f t="shared" si="1830"/>
        <v>100</v>
      </c>
      <c r="DN30" s="21">
        <f t="shared" si="1830"/>
        <v>100</v>
      </c>
      <c r="DO30" s="19">
        <v>0.0</v>
      </c>
      <c r="DP30" s="20">
        <f t="shared" ref="DP30:DR30" si="1831">DO30</f>
        <v>0</v>
      </c>
      <c r="DQ30" s="20">
        <f t="shared" si="1831"/>
        <v>0</v>
      </c>
      <c r="DR30" s="21">
        <f t="shared" si="1831"/>
        <v>0</v>
      </c>
      <c r="DS30" s="19">
        <v>5000.0</v>
      </c>
      <c r="DT30" s="20">
        <f t="shared" ref="DT30:DV30" si="1832">DS30</f>
        <v>5000</v>
      </c>
      <c r="DU30" s="20">
        <f t="shared" si="1832"/>
        <v>5000</v>
      </c>
      <c r="DV30" s="21">
        <f t="shared" si="1832"/>
        <v>5000</v>
      </c>
      <c r="DW30" s="19">
        <v>0.0</v>
      </c>
      <c r="DX30" s="20">
        <f t="shared" ref="DX30:DZ30" si="1833">DW30</f>
        <v>0</v>
      </c>
      <c r="DY30" s="20">
        <f t="shared" si="1833"/>
        <v>0</v>
      </c>
      <c r="DZ30" s="21">
        <f t="shared" si="1833"/>
        <v>0</v>
      </c>
      <c r="EA30" s="19">
        <v>1000.0</v>
      </c>
      <c r="EB30" s="20">
        <v>1000.0</v>
      </c>
      <c r="EC30" s="20">
        <f t="shared" ref="EC30:ED30" si="1834">EB30</f>
        <v>1000</v>
      </c>
      <c r="ED30" s="21">
        <f t="shared" si="1834"/>
        <v>1000</v>
      </c>
      <c r="EE30" s="19">
        <v>1500.0</v>
      </c>
      <c r="EF30" s="20">
        <f t="shared" ref="EF30:EH30" si="1835">EE30</f>
        <v>1500</v>
      </c>
      <c r="EG30" s="20">
        <f t="shared" si="1835"/>
        <v>1500</v>
      </c>
      <c r="EH30" s="21">
        <f t="shared" si="1835"/>
        <v>1500</v>
      </c>
      <c r="EI30" s="19">
        <v>0.0</v>
      </c>
      <c r="EJ30" s="21">
        <f t="shared" ref="EJ30:EK30" si="1836">EI30</f>
        <v>0</v>
      </c>
      <c r="EK30" s="21">
        <f t="shared" si="1836"/>
        <v>0</v>
      </c>
      <c r="EL30" s="21">
        <f t="shared" si="797"/>
        <v>0</v>
      </c>
      <c r="EM30" s="19">
        <v>500.0</v>
      </c>
      <c r="EN30" s="20">
        <f t="shared" ref="EN30:EP30" si="1837">EM30</f>
        <v>500</v>
      </c>
      <c r="EO30" s="20">
        <f t="shared" si="1837"/>
        <v>500</v>
      </c>
      <c r="EP30" s="21">
        <f t="shared" si="1837"/>
        <v>500</v>
      </c>
      <c r="EQ30" s="19">
        <v>5000.0</v>
      </c>
      <c r="ER30" s="20">
        <f t="shared" ref="ER30:ET30" si="1838">EQ30</f>
        <v>5000</v>
      </c>
      <c r="ES30" s="20">
        <f t="shared" si="1838"/>
        <v>5000</v>
      </c>
      <c r="ET30" s="21">
        <f t="shared" si="1838"/>
        <v>5000</v>
      </c>
      <c r="EU30" s="19">
        <v>0.0</v>
      </c>
      <c r="EV30" s="20">
        <f>EU30</f>
        <v>0</v>
      </c>
      <c r="EW30" s="20">
        <v>0.0</v>
      </c>
      <c r="EX30" s="21">
        <f t="shared" ref="EX30:EX37" si="1907">EW30</f>
        <v>0</v>
      </c>
      <c r="EY30" s="19">
        <v>0.0</v>
      </c>
      <c r="EZ30" s="20">
        <f t="shared" ref="EZ30:FB30" si="1839">EY30</f>
        <v>0</v>
      </c>
      <c r="FA30" s="20">
        <f t="shared" si="1839"/>
        <v>0</v>
      </c>
      <c r="FB30" s="21">
        <f t="shared" si="1839"/>
        <v>0</v>
      </c>
      <c r="FC30" s="19">
        <v>0.0</v>
      </c>
      <c r="FD30" s="20">
        <f t="shared" ref="FD30:FF30" si="1840">FC30</f>
        <v>0</v>
      </c>
      <c r="FE30" s="20">
        <f t="shared" si="1840"/>
        <v>0</v>
      </c>
      <c r="FF30" s="21">
        <f t="shared" si="1840"/>
        <v>0</v>
      </c>
      <c r="FG30" s="19">
        <v>0.0</v>
      </c>
      <c r="FH30" s="20">
        <f t="shared" ref="FH30:FJ30" si="1841">FG30</f>
        <v>0</v>
      </c>
      <c r="FI30" s="20">
        <f t="shared" si="1841"/>
        <v>0</v>
      </c>
      <c r="FJ30" s="21">
        <f t="shared" si="1841"/>
        <v>0</v>
      </c>
      <c r="FK30" s="19">
        <v>0.0</v>
      </c>
      <c r="FL30" s="20">
        <f t="shared" ref="FL30:FN30" si="1842">FK30</f>
        <v>0</v>
      </c>
      <c r="FM30" s="20">
        <f t="shared" si="1842"/>
        <v>0</v>
      </c>
      <c r="FN30" s="21">
        <f t="shared" si="1842"/>
        <v>0</v>
      </c>
      <c r="FO30" s="19">
        <v>100.0</v>
      </c>
      <c r="FP30" s="20">
        <v>0.0</v>
      </c>
      <c r="FQ30" s="20">
        <f t="shared" ref="FQ30:FR30" si="1843">FP30</f>
        <v>0</v>
      </c>
      <c r="FR30" s="21">
        <f t="shared" si="1843"/>
        <v>0</v>
      </c>
      <c r="FS30" s="19">
        <v>0.0</v>
      </c>
      <c r="FT30" s="20">
        <f t="shared" ref="FT30:FV30" si="1844">FS30</f>
        <v>0</v>
      </c>
      <c r="FU30" s="20">
        <f t="shared" si="1844"/>
        <v>0</v>
      </c>
      <c r="FV30" s="21">
        <f t="shared" si="1844"/>
        <v>0</v>
      </c>
      <c r="FW30" s="19">
        <v>2000.0</v>
      </c>
      <c r="FX30" s="20">
        <f t="shared" si="1284"/>
        <v>2000</v>
      </c>
      <c r="FY30" s="20">
        <f t="shared" ref="FY30:FZ30" si="1845">FX30</f>
        <v>2000</v>
      </c>
      <c r="FZ30" s="21">
        <f t="shared" si="1845"/>
        <v>2000</v>
      </c>
      <c r="GA30" s="19">
        <v>0.0</v>
      </c>
      <c r="GB30" s="20">
        <f t="shared" si="1286"/>
        <v>0</v>
      </c>
      <c r="GC30" s="20">
        <f t="shared" ref="GC30:GD30" si="1846">GB30</f>
        <v>0</v>
      </c>
      <c r="GD30" s="21">
        <f t="shared" si="1846"/>
        <v>0</v>
      </c>
      <c r="GE30" s="19">
        <v>0.0</v>
      </c>
      <c r="GF30" s="20">
        <f t="shared" ref="GF30:GH30" si="1847">GE30</f>
        <v>0</v>
      </c>
      <c r="GG30" s="20">
        <f t="shared" si="1847"/>
        <v>0</v>
      </c>
      <c r="GH30" s="21">
        <f t="shared" si="1847"/>
        <v>0</v>
      </c>
      <c r="GI30" s="19">
        <v>5100.0</v>
      </c>
      <c r="GJ30" s="20">
        <f t="shared" ref="GJ30:GL30" si="1848">GI30</f>
        <v>5100</v>
      </c>
      <c r="GK30" s="20">
        <f t="shared" si="1848"/>
        <v>5100</v>
      </c>
      <c r="GL30" s="20">
        <f t="shared" si="1848"/>
        <v>5100</v>
      </c>
      <c r="GM30" s="22">
        <v>0.0</v>
      </c>
      <c r="GN30" s="20">
        <f t="shared" ref="GN30:GP30" si="1849">GM30</f>
        <v>0</v>
      </c>
      <c r="GO30" s="20">
        <f t="shared" si="1849"/>
        <v>0</v>
      </c>
      <c r="GP30" s="21">
        <f t="shared" si="1849"/>
        <v>0</v>
      </c>
      <c r="GQ30" s="19">
        <v>0.0</v>
      </c>
      <c r="GR30" s="20">
        <f t="shared" ref="GR30:GT30" si="1850">GQ30</f>
        <v>0</v>
      </c>
      <c r="GS30" s="20">
        <f t="shared" si="1850"/>
        <v>0</v>
      </c>
      <c r="GT30" s="21">
        <f t="shared" si="1850"/>
        <v>0</v>
      </c>
      <c r="GU30" s="19">
        <v>3600.0</v>
      </c>
      <c r="GV30" s="20">
        <v>0.0</v>
      </c>
      <c r="GW30" s="20">
        <f t="shared" ref="GW30:GX30" si="1851">GV30</f>
        <v>0</v>
      </c>
      <c r="GX30" s="21">
        <f t="shared" si="1851"/>
        <v>0</v>
      </c>
      <c r="GY30" s="19">
        <v>0.0</v>
      </c>
      <c r="GZ30" s="20">
        <f t="shared" ref="GZ30:HB30" si="1852">GY30</f>
        <v>0</v>
      </c>
      <c r="HA30" s="20">
        <f t="shared" si="1852"/>
        <v>0</v>
      </c>
      <c r="HB30" s="21">
        <f t="shared" si="1852"/>
        <v>0</v>
      </c>
      <c r="HC30" s="19">
        <v>0.0</v>
      </c>
      <c r="HD30" s="20">
        <f t="shared" si="1430"/>
        <v>0</v>
      </c>
      <c r="HE30" s="20">
        <f t="shared" ref="HE30:HF30" si="1853">HD30</f>
        <v>0</v>
      </c>
      <c r="HF30" s="21">
        <f t="shared" si="1853"/>
        <v>0</v>
      </c>
      <c r="HG30" s="19">
        <v>0.0</v>
      </c>
      <c r="HH30" s="20">
        <f t="shared" ref="HH30:HJ30" si="1854">HG30</f>
        <v>0</v>
      </c>
      <c r="HI30" s="20">
        <f t="shared" si="1854"/>
        <v>0</v>
      </c>
      <c r="HJ30" s="21">
        <f t="shared" si="1854"/>
        <v>0</v>
      </c>
      <c r="HK30" s="19">
        <v>0.0</v>
      </c>
      <c r="HL30" s="20">
        <f t="shared" ref="HL30:HN30" si="1855">HK30</f>
        <v>0</v>
      </c>
      <c r="HM30" s="20">
        <f t="shared" si="1855"/>
        <v>0</v>
      </c>
      <c r="HN30" s="21">
        <f t="shared" si="1855"/>
        <v>0</v>
      </c>
      <c r="HO30" s="19">
        <v>5000.0</v>
      </c>
      <c r="HP30" s="20">
        <v>4300.0</v>
      </c>
      <c r="HQ30" s="20">
        <v>2000.0</v>
      </c>
      <c r="HR30" s="21">
        <f>HQ30</f>
        <v>2000</v>
      </c>
      <c r="HS30" s="19">
        <v>0.0</v>
      </c>
      <c r="HT30" s="20">
        <f t="shared" ref="HT30:HV30" si="1856">HS30</f>
        <v>0</v>
      </c>
      <c r="HU30" s="20">
        <f t="shared" si="1856"/>
        <v>0</v>
      </c>
      <c r="HV30" s="21">
        <f t="shared" si="1856"/>
        <v>0</v>
      </c>
      <c r="HW30" s="19">
        <v>0.0</v>
      </c>
      <c r="HX30" s="20">
        <f t="shared" ref="HX30:HZ30" si="1857">HW30</f>
        <v>0</v>
      </c>
      <c r="HY30" s="20">
        <f t="shared" si="1857"/>
        <v>0</v>
      </c>
      <c r="HZ30" s="21">
        <f t="shared" si="1857"/>
        <v>0</v>
      </c>
      <c r="IA30" s="19">
        <v>200.0</v>
      </c>
      <c r="IB30" s="20">
        <f t="shared" si="1789"/>
        <v>200</v>
      </c>
      <c r="IC30" s="20">
        <f t="shared" ref="IC30:ID30" si="1858">IB30</f>
        <v>200</v>
      </c>
      <c r="ID30" s="21">
        <f t="shared" si="1858"/>
        <v>200</v>
      </c>
      <c r="IE30" s="19">
        <v>1500.0</v>
      </c>
      <c r="IF30" s="20">
        <f t="shared" ref="IF30:IF41" si="1929">IE30</f>
        <v>1500</v>
      </c>
      <c r="IG30" s="20">
        <v>1000.0</v>
      </c>
      <c r="IH30" s="21">
        <f>IG30</f>
        <v>1000</v>
      </c>
      <c r="II30" s="19">
        <v>3000.0</v>
      </c>
      <c r="IJ30" s="20">
        <f t="shared" ref="IJ30:IL30" si="1859">II30</f>
        <v>3000</v>
      </c>
      <c r="IK30" s="20">
        <f t="shared" si="1859"/>
        <v>3000</v>
      </c>
      <c r="IL30" s="21">
        <f t="shared" si="1859"/>
        <v>3000</v>
      </c>
      <c r="IM30" s="19">
        <v>0.0</v>
      </c>
      <c r="IN30" s="20">
        <f t="shared" ref="IN30:IP30" si="1860">IM30</f>
        <v>0</v>
      </c>
      <c r="IO30" s="20">
        <f t="shared" si="1860"/>
        <v>0</v>
      </c>
      <c r="IP30" s="21">
        <f t="shared" si="1860"/>
        <v>0</v>
      </c>
      <c r="IQ30" s="19">
        <v>75.0</v>
      </c>
      <c r="IR30" s="20">
        <f t="shared" ref="IR30:IT30" si="1861">IQ30</f>
        <v>75</v>
      </c>
      <c r="IS30" s="20">
        <f t="shared" si="1861"/>
        <v>75</v>
      </c>
      <c r="IT30" s="21">
        <f t="shared" si="1861"/>
        <v>75</v>
      </c>
      <c r="IU30" s="19">
        <v>500.0</v>
      </c>
      <c r="IV30" s="20">
        <f t="shared" si="1305"/>
        <v>500</v>
      </c>
      <c r="IW30" s="20">
        <f t="shared" ref="IW30:IX30" si="1862">IV30</f>
        <v>500</v>
      </c>
      <c r="IX30" s="21">
        <f t="shared" si="1862"/>
        <v>500</v>
      </c>
      <c r="IY30" s="19">
        <v>0.0</v>
      </c>
      <c r="IZ30" s="20">
        <f t="shared" ref="IZ30:JB30" si="1863">IY30</f>
        <v>0</v>
      </c>
      <c r="JA30" s="20">
        <f t="shared" si="1863"/>
        <v>0</v>
      </c>
      <c r="JB30" s="21">
        <f t="shared" si="1863"/>
        <v>0</v>
      </c>
      <c r="JC30" s="19">
        <v>1000.0</v>
      </c>
      <c r="JD30" s="20">
        <f t="shared" ref="JD30:JF30" si="1864">JC30</f>
        <v>1000</v>
      </c>
      <c r="JE30" s="20">
        <f t="shared" si="1864"/>
        <v>1000</v>
      </c>
      <c r="JF30" s="20">
        <f t="shared" si="1864"/>
        <v>1000</v>
      </c>
      <c r="JG30" s="19">
        <v>0.0</v>
      </c>
      <c r="JH30" s="20">
        <f t="shared" ref="JH30:JJ30" si="1865">JG30</f>
        <v>0</v>
      </c>
      <c r="JI30" s="20">
        <f t="shared" si="1865"/>
        <v>0</v>
      </c>
      <c r="JJ30" s="21">
        <f t="shared" si="1865"/>
        <v>0</v>
      </c>
      <c r="JK30" s="19">
        <v>0.0</v>
      </c>
      <c r="JL30" s="20">
        <f t="shared" ref="JL30:JN30" si="1866">JK30</f>
        <v>0</v>
      </c>
      <c r="JM30" s="20">
        <f t="shared" si="1866"/>
        <v>0</v>
      </c>
      <c r="JN30" s="21">
        <f t="shared" si="1866"/>
        <v>0</v>
      </c>
      <c r="JO30" s="19">
        <v>0.0</v>
      </c>
      <c r="JP30" s="20">
        <f t="shared" ref="JP30:JR30" si="1867">JO30</f>
        <v>0</v>
      </c>
      <c r="JQ30" s="20">
        <f t="shared" si="1867"/>
        <v>0</v>
      </c>
      <c r="JR30" s="21">
        <f t="shared" si="1867"/>
        <v>0</v>
      </c>
      <c r="JS30" s="19">
        <v>0.0</v>
      </c>
      <c r="JT30" s="20">
        <f t="shared" ref="JT30:JV30" si="1868">JS30</f>
        <v>0</v>
      </c>
      <c r="JU30" s="20">
        <f t="shared" si="1868"/>
        <v>0</v>
      </c>
      <c r="JV30" s="21">
        <f t="shared" si="1868"/>
        <v>0</v>
      </c>
      <c r="JW30" s="19">
        <v>0.0</v>
      </c>
      <c r="JX30" s="20">
        <f t="shared" ref="JX30:JZ30" si="1869">JW30</f>
        <v>0</v>
      </c>
      <c r="JY30" s="20">
        <f t="shared" si="1869"/>
        <v>0</v>
      </c>
      <c r="JZ30" s="21">
        <f t="shared" si="1869"/>
        <v>0</v>
      </c>
    </row>
    <row r="31" ht="15.75" customHeight="1">
      <c r="A31" s="24" t="s">
        <v>109</v>
      </c>
      <c r="B31" s="18"/>
      <c r="C31" s="19">
        <v>3000.0</v>
      </c>
      <c r="D31" s="20">
        <f t="shared" ref="D31:F31" si="1870">C31</f>
        <v>3000</v>
      </c>
      <c r="E31" s="20">
        <f t="shared" si="1870"/>
        <v>3000</v>
      </c>
      <c r="F31" s="21">
        <f t="shared" si="1870"/>
        <v>3000</v>
      </c>
      <c r="G31" s="19">
        <v>0.0</v>
      </c>
      <c r="H31" s="20">
        <f t="shared" ref="H31:J31" si="1871">G31</f>
        <v>0</v>
      </c>
      <c r="I31" s="20">
        <f t="shared" si="1871"/>
        <v>0</v>
      </c>
      <c r="J31" s="21">
        <f t="shared" si="1871"/>
        <v>0</v>
      </c>
      <c r="K31" s="19">
        <v>0.0</v>
      </c>
      <c r="L31" s="20">
        <f t="shared" ref="L31:N31" si="1872">K31</f>
        <v>0</v>
      </c>
      <c r="M31" s="20">
        <f t="shared" si="1872"/>
        <v>0</v>
      </c>
      <c r="N31" s="21">
        <f t="shared" si="1872"/>
        <v>0</v>
      </c>
      <c r="O31" s="19">
        <v>0.0</v>
      </c>
      <c r="P31" s="20">
        <f t="shared" ref="P31:R31" si="1873">O31</f>
        <v>0</v>
      </c>
      <c r="Q31" s="20">
        <f t="shared" si="1873"/>
        <v>0</v>
      </c>
      <c r="R31" s="21">
        <f t="shared" si="1873"/>
        <v>0</v>
      </c>
      <c r="S31" s="19">
        <v>0.0</v>
      </c>
      <c r="T31" s="20">
        <f t="shared" ref="T31:V31" si="1874">S31</f>
        <v>0</v>
      </c>
      <c r="U31" s="20">
        <f t="shared" si="1874"/>
        <v>0</v>
      </c>
      <c r="V31" s="21">
        <f t="shared" si="1874"/>
        <v>0</v>
      </c>
      <c r="W31" s="36">
        <v>300.0</v>
      </c>
      <c r="X31" s="20">
        <f t="shared" ref="X31:Z31" si="1875">W31</f>
        <v>300</v>
      </c>
      <c r="Y31" s="20">
        <f t="shared" si="1875"/>
        <v>300</v>
      </c>
      <c r="Z31" s="21">
        <f t="shared" si="1875"/>
        <v>300</v>
      </c>
      <c r="AA31" s="19">
        <v>0.0</v>
      </c>
      <c r="AB31" s="20">
        <f t="shared" ref="AB31:AD31" si="1876">AA31</f>
        <v>0</v>
      </c>
      <c r="AC31" s="20">
        <f t="shared" si="1876"/>
        <v>0</v>
      </c>
      <c r="AD31" s="21">
        <f t="shared" si="1876"/>
        <v>0</v>
      </c>
      <c r="AE31" s="19">
        <v>0.0</v>
      </c>
      <c r="AF31" s="20">
        <f t="shared" ref="AF31:AH31" si="1877">AE31</f>
        <v>0</v>
      </c>
      <c r="AG31" s="20">
        <f t="shared" si="1877"/>
        <v>0</v>
      </c>
      <c r="AH31" s="21">
        <f t="shared" si="1877"/>
        <v>0</v>
      </c>
      <c r="AI31" s="19">
        <v>1200.0</v>
      </c>
      <c r="AJ31" s="20">
        <v>0.0</v>
      </c>
      <c r="AK31" s="20">
        <f t="shared" ref="AK31:AL31" si="1878">AJ31</f>
        <v>0</v>
      </c>
      <c r="AL31" s="21">
        <f t="shared" si="1878"/>
        <v>0</v>
      </c>
      <c r="AM31" s="19">
        <v>0.0</v>
      </c>
      <c r="AN31" s="20">
        <f t="shared" ref="AN31:AP31" si="1879">AM31</f>
        <v>0</v>
      </c>
      <c r="AO31" s="20">
        <f t="shared" si="1879"/>
        <v>0</v>
      </c>
      <c r="AP31" s="21">
        <f t="shared" si="1879"/>
        <v>0</v>
      </c>
      <c r="AQ31" s="19">
        <v>3500.0</v>
      </c>
      <c r="AR31" s="20">
        <f t="shared" ref="AR31:AT31" si="1880">AQ31</f>
        <v>3500</v>
      </c>
      <c r="AS31" s="20">
        <f t="shared" si="1880"/>
        <v>3500</v>
      </c>
      <c r="AT31" s="20">
        <f t="shared" si="1880"/>
        <v>3500</v>
      </c>
      <c r="AU31" s="35">
        <v>1000.0</v>
      </c>
      <c r="AV31" s="20">
        <f t="shared" ref="AV31:AX31" si="1881">AU31</f>
        <v>1000</v>
      </c>
      <c r="AW31" s="20">
        <f t="shared" si="1881"/>
        <v>1000</v>
      </c>
      <c r="AX31" s="21">
        <f t="shared" si="1881"/>
        <v>1000</v>
      </c>
      <c r="AY31" s="19">
        <v>50.0</v>
      </c>
      <c r="AZ31" s="20">
        <f t="shared" ref="AZ31:BB31" si="1882">AY31</f>
        <v>50</v>
      </c>
      <c r="BA31" s="20">
        <f t="shared" si="1882"/>
        <v>50</v>
      </c>
      <c r="BB31" s="21">
        <f t="shared" si="1882"/>
        <v>50</v>
      </c>
      <c r="BC31" s="19">
        <v>6750.0</v>
      </c>
      <c r="BD31" s="20">
        <f t="shared" ref="BD31:BF31" si="1883">BC31</f>
        <v>6750</v>
      </c>
      <c r="BE31" s="20">
        <f t="shared" si="1883"/>
        <v>6750</v>
      </c>
      <c r="BF31" s="21">
        <f t="shared" si="1883"/>
        <v>6750</v>
      </c>
      <c r="BG31" s="19">
        <v>0.0</v>
      </c>
      <c r="BH31" s="20">
        <f t="shared" ref="BH31:BJ31" si="1884">BG31</f>
        <v>0</v>
      </c>
      <c r="BI31" s="20">
        <f t="shared" si="1884"/>
        <v>0</v>
      </c>
      <c r="BJ31" s="21">
        <f t="shared" si="1884"/>
        <v>0</v>
      </c>
      <c r="BK31" s="19">
        <v>0.0</v>
      </c>
      <c r="BL31" s="20">
        <f t="shared" ref="BL31:BN31" si="1885">BK31</f>
        <v>0</v>
      </c>
      <c r="BM31" s="20">
        <f t="shared" si="1885"/>
        <v>0</v>
      </c>
      <c r="BN31" s="21">
        <f t="shared" si="1885"/>
        <v>0</v>
      </c>
      <c r="BO31" s="19">
        <v>0.0</v>
      </c>
      <c r="BP31" s="20">
        <f t="shared" ref="BP31:BR31" si="1886">BO31</f>
        <v>0</v>
      </c>
      <c r="BQ31" s="20">
        <f t="shared" si="1886"/>
        <v>0</v>
      </c>
      <c r="BR31" s="21">
        <f t="shared" si="1886"/>
        <v>0</v>
      </c>
      <c r="BS31" s="19">
        <v>500.0</v>
      </c>
      <c r="BT31" s="20">
        <f t="shared" ref="BT31:BV31" si="1887">BS31</f>
        <v>500</v>
      </c>
      <c r="BU31" s="20">
        <f t="shared" si="1887"/>
        <v>500</v>
      </c>
      <c r="BV31" s="21">
        <f t="shared" si="1887"/>
        <v>500</v>
      </c>
      <c r="BW31" s="19">
        <v>0.0</v>
      </c>
      <c r="BX31" s="20">
        <f t="shared" ref="BX31:BZ31" si="1888">BW31</f>
        <v>0</v>
      </c>
      <c r="BY31" s="20">
        <f t="shared" si="1888"/>
        <v>0</v>
      </c>
      <c r="BZ31" s="21">
        <f t="shared" si="1888"/>
        <v>0</v>
      </c>
      <c r="CA31" s="19">
        <v>1750.0</v>
      </c>
      <c r="CB31" s="20">
        <f t="shared" ref="CB31:CD31" si="1889">CA31</f>
        <v>1750</v>
      </c>
      <c r="CC31" s="20">
        <f t="shared" si="1889"/>
        <v>1750</v>
      </c>
      <c r="CD31" s="21">
        <f t="shared" si="1889"/>
        <v>1750</v>
      </c>
      <c r="CE31" s="19">
        <v>0.0</v>
      </c>
      <c r="CF31" s="20">
        <f t="shared" ref="CF31:CH31" si="1890">CE31</f>
        <v>0</v>
      </c>
      <c r="CG31" s="20">
        <f t="shared" si="1890"/>
        <v>0</v>
      </c>
      <c r="CH31" s="21">
        <f t="shared" si="1890"/>
        <v>0</v>
      </c>
      <c r="CI31" s="19">
        <v>0.0</v>
      </c>
      <c r="CJ31" s="20">
        <f t="shared" ref="CJ31:CL31" si="1891">CI31</f>
        <v>0</v>
      </c>
      <c r="CK31" s="20">
        <f t="shared" si="1891"/>
        <v>0</v>
      </c>
      <c r="CL31" s="21">
        <f t="shared" si="1891"/>
        <v>0</v>
      </c>
      <c r="CM31" s="19">
        <v>0.0</v>
      </c>
      <c r="CN31" s="20">
        <f t="shared" ref="CN31:CP31" si="1892">CM31</f>
        <v>0</v>
      </c>
      <c r="CO31" s="20">
        <f t="shared" si="1892"/>
        <v>0</v>
      </c>
      <c r="CP31" s="21">
        <f t="shared" si="1892"/>
        <v>0</v>
      </c>
      <c r="CQ31" s="19">
        <v>0.0</v>
      </c>
      <c r="CR31" s="20">
        <f t="shared" ref="CR31:CT31" si="1893">CQ31</f>
        <v>0</v>
      </c>
      <c r="CS31" s="20">
        <f t="shared" si="1893"/>
        <v>0</v>
      </c>
      <c r="CT31" s="21">
        <f t="shared" si="1893"/>
        <v>0</v>
      </c>
      <c r="CU31" s="19">
        <v>0.0</v>
      </c>
      <c r="CV31" s="20">
        <f t="shared" ref="CV31:CX31" si="1894">CU31</f>
        <v>0</v>
      </c>
      <c r="CW31" s="20">
        <f t="shared" si="1894"/>
        <v>0</v>
      </c>
      <c r="CX31" s="21">
        <f t="shared" si="1894"/>
        <v>0</v>
      </c>
      <c r="CY31" s="19">
        <v>0.0</v>
      </c>
      <c r="CZ31" s="20">
        <f t="shared" ref="CZ31:DB31" si="1895">CY31</f>
        <v>0</v>
      </c>
      <c r="DA31" s="20">
        <f t="shared" si="1895"/>
        <v>0</v>
      </c>
      <c r="DB31" s="21">
        <f t="shared" si="1895"/>
        <v>0</v>
      </c>
      <c r="DC31" s="19">
        <v>0.0</v>
      </c>
      <c r="DD31" s="20">
        <f t="shared" ref="DD31:DF31" si="1896">DC31</f>
        <v>0</v>
      </c>
      <c r="DE31" s="20">
        <f t="shared" si="1896"/>
        <v>0</v>
      </c>
      <c r="DF31" s="21">
        <f t="shared" si="1896"/>
        <v>0</v>
      </c>
      <c r="DG31" s="19">
        <v>0.0</v>
      </c>
      <c r="DH31" s="20">
        <f t="shared" ref="DH31:DJ31" si="1897">DG31</f>
        <v>0</v>
      </c>
      <c r="DI31" s="20">
        <f t="shared" si="1897"/>
        <v>0</v>
      </c>
      <c r="DJ31" s="21">
        <f t="shared" si="1897"/>
        <v>0</v>
      </c>
      <c r="DK31" s="19">
        <v>0.0</v>
      </c>
      <c r="DL31" s="20">
        <f t="shared" ref="DL31:DN31" si="1898">DK31</f>
        <v>0</v>
      </c>
      <c r="DM31" s="20">
        <f t="shared" si="1898"/>
        <v>0</v>
      </c>
      <c r="DN31" s="21">
        <f t="shared" si="1898"/>
        <v>0</v>
      </c>
      <c r="DO31" s="19">
        <v>0.0</v>
      </c>
      <c r="DP31" s="20">
        <f t="shared" ref="DP31:DR31" si="1899">DO31</f>
        <v>0</v>
      </c>
      <c r="DQ31" s="20">
        <f t="shared" si="1899"/>
        <v>0</v>
      </c>
      <c r="DR31" s="21">
        <f t="shared" si="1899"/>
        <v>0</v>
      </c>
      <c r="DS31" s="19">
        <v>0.0</v>
      </c>
      <c r="DT31" s="20">
        <f t="shared" ref="DT31:DV31" si="1900">DS31</f>
        <v>0</v>
      </c>
      <c r="DU31" s="20">
        <f t="shared" si="1900"/>
        <v>0</v>
      </c>
      <c r="DV31" s="21">
        <f t="shared" si="1900"/>
        <v>0</v>
      </c>
      <c r="DW31" s="19">
        <v>0.0</v>
      </c>
      <c r="DX31" s="20">
        <f t="shared" ref="DX31:DZ31" si="1901">DW31</f>
        <v>0</v>
      </c>
      <c r="DY31" s="20">
        <f t="shared" si="1901"/>
        <v>0</v>
      </c>
      <c r="DZ31" s="21">
        <f t="shared" si="1901"/>
        <v>0</v>
      </c>
      <c r="EA31" s="19">
        <v>0.0</v>
      </c>
      <c r="EB31" s="20">
        <f t="shared" ref="EB31:ED31" si="1902">EA31</f>
        <v>0</v>
      </c>
      <c r="EC31" s="20">
        <f t="shared" si="1902"/>
        <v>0</v>
      </c>
      <c r="ED31" s="21">
        <f t="shared" si="1902"/>
        <v>0</v>
      </c>
      <c r="EE31" s="19">
        <v>0.0</v>
      </c>
      <c r="EF31" s="20">
        <f t="shared" ref="EF31:EH31" si="1903">EE31</f>
        <v>0</v>
      </c>
      <c r="EG31" s="20">
        <f t="shared" si="1903"/>
        <v>0</v>
      </c>
      <c r="EH31" s="21">
        <f t="shared" si="1903"/>
        <v>0</v>
      </c>
      <c r="EI31" s="19">
        <v>0.0</v>
      </c>
      <c r="EJ31" s="21">
        <f t="shared" ref="EJ31:EK31" si="1904">EI31</f>
        <v>0</v>
      </c>
      <c r="EK31" s="21">
        <f t="shared" si="1904"/>
        <v>0</v>
      </c>
      <c r="EL31" s="21">
        <f t="shared" si="797"/>
        <v>0</v>
      </c>
      <c r="EM31" s="19">
        <v>0.0</v>
      </c>
      <c r="EN31" s="20">
        <f t="shared" ref="EN31:EP31" si="1905">EM31</f>
        <v>0</v>
      </c>
      <c r="EO31" s="20">
        <f t="shared" si="1905"/>
        <v>0</v>
      </c>
      <c r="EP31" s="21">
        <f t="shared" si="1905"/>
        <v>0</v>
      </c>
      <c r="EQ31" s="19">
        <v>0.0</v>
      </c>
      <c r="ER31" s="20">
        <f t="shared" ref="ER31:ET31" si="1906">EQ31</f>
        <v>0</v>
      </c>
      <c r="ES31" s="20">
        <f t="shared" si="1906"/>
        <v>0</v>
      </c>
      <c r="ET31" s="21">
        <f t="shared" si="1906"/>
        <v>0</v>
      </c>
      <c r="EU31" s="19">
        <v>500.0</v>
      </c>
      <c r="EV31" s="20">
        <v>0.0</v>
      </c>
      <c r="EW31" s="20">
        <v>500.0</v>
      </c>
      <c r="EX31" s="21">
        <f t="shared" si="1907"/>
        <v>500</v>
      </c>
      <c r="EY31" s="19">
        <v>0.0</v>
      </c>
      <c r="EZ31" s="20">
        <f t="shared" ref="EZ31:FB31" si="1908">EY31</f>
        <v>0</v>
      </c>
      <c r="FA31" s="20">
        <f t="shared" si="1908"/>
        <v>0</v>
      </c>
      <c r="FB31" s="21">
        <f t="shared" si="1908"/>
        <v>0</v>
      </c>
      <c r="FC31" s="19">
        <v>0.0</v>
      </c>
      <c r="FD31" s="20">
        <f t="shared" ref="FD31:FF31" si="1909">FC31</f>
        <v>0</v>
      </c>
      <c r="FE31" s="20">
        <f t="shared" si="1909"/>
        <v>0</v>
      </c>
      <c r="FF31" s="21">
        <f t="shared" si="1909"/>
        <v>0</v>
      </c>
      <c r="FG31" s="19">
        <v>0.0</v>
      </c>
      <c r="FH31" s="20">
        <f t="shared" ref="FH31:FJ31" si="1910">FG31</f>
        <v>0</v>
      </c>
      <c r="FI31" s="20">
        <f t="shared" si="1910"/>
        <v>0</v>
      </c>
      <c r="FJ31" s="21">
        <f t="shared" si="1910"/>
        <v>0</v>
      </c>
      <c r="FK31" s="19">
        <v>0.0</v>
      </c>
      <c r="FL31" s="20">
        <f t="shared" ref="FL31:FN31" si="1911">FK31</f>
        <v>0</v>
      </c>
      <c r="FM31" s="20">
        <f t="shared" si="1911"/>
        <v>0</v>
      </c>
      <c r="FN31" s="21">
        <f t="shared" si="1911"/>
        <v>0</v>
      </c>
      <c r="FO31" s="19">
        <v>0.0</v>
      </c>
      <c r="FP31" s="20">
        <f t="shared" ref="FP31:FR31" si="1912">FO31</f>
        <v>0</v>
      </c>
      <c r="FQ31" s="20">
        <f t="shared" si="1912"/>
        <v>0</v>
      </c>
      <c r="FR31" s="21">
        <f t="shared" si="1912"/>
        <v>0</v>
      </c>
      <c r="FS31" s="19">
        <v>0.0</v>
      </c>
      <c r="FT31" s="20">
        <f t="shared" ref="FT31:FV31" si="1913">FS31</f>
        <v>0</v>
      </c>
      <c r="FU31" s="20">
        <f t="shared" si="1913"/>
        <v>0</v>
      </c>
      <c r="FV31" s="21">
        <f t="shared" si="1913"/>
        <v>0</v>
      </c>
      <c r="FW31" s="19">
        <v>0.0</v>
      </c>
      <c r="FX31" s="20">
        <f t="shared" si="1284"/>
        <v>0</v>
      </c>
      <c r="FY31" s="20">
        <f t="shared" ref="FY31:FZ31" si="1914">FX31</f>
        <v>0</v>
      </c>
      <c r="FZ31" s="21">
        <f t="shared" si="1914"/>
        <v>0</v>
      </c>
      <c r="GA31" s="19">
        <v>0.0</v>
      </c>
      <c r="GB31" s="20">
        <f t="shared" si="1286"/>
        <v>0</v>
      </c>
      <c r="GC31" s="20">
        <f t="shared" ref="GC31:GD31" si="1915">GB31</f>
        <v>0</v>
      </c>
      <c r="GD31" s="21">
        <f t="shared" si="1915"/>
        <v>0</v>
      </c>
      <c r="GE31" s="19">
        <v>0.0</v>
      </c>
      <c r="GF31" s="20">
        <f t="shared" ref="GF31:GH31" si="1916">GE31</f>
        <v>0</v>
      </c>
      <c r="GG31" s="20">
        <f t="shared" si="1916"/>
        <v>0</v>
      </c>
      <c r="GH31" s="21">
        <f t="shared" si="1916"/>
        <v>0</v>
      </c>
      <c r="GI31" s="19">
        <v>0.0</v>
      </c>
      <c r="GJ31" s="20">
        <f t="shared" ref="GJ31:GL31" si="1917">GI31</f>
        <v>0</v>
      </c>
      <c r="GK31" s="20">
        <f t="shared" si="1917"/>
        <v>0</v>
      </c>
      <c r="GL31" s="20">
        <f t="shared" si="1917"/>
        <v>0</v>
      </c>
      <c r="GM31" s="22">
        <v>0.0</v>
      </c>
      <c r="GN31" s="20">
        <f t="shared" ref="GN31:GP31" si="1918">GM31</f>
        <v>0</v>
      </c>
      <c r="GO31" s="20">
        <f t="shared" si="1918"/>
        <v>0</v>
      </c>
      <c r="GP31" s="21">
        <f t="shared" si="1918"/>
        <v>0</v>
      </c>
      <c r="GQ31" s="19">
        <v>0.0</v>
      </c>
      <c r="GR31" s="20">
        <f t="shared" ref="GR31:GT31" si="1919">GQ31</f>
        <v>0</v>
      </c>
      <c r="GS31" s="20">
        <f t="shared" si="1919"/>
        <v>0</v>
      </c>
      <c r="GT31" s="21">
        <f t="shared" si="1919"/>
        <v>0</v>
      </c>
      <c r="GU31" s="19">
        <v>0.0</v>
      </c>
      <c r="GV31" s="20">
        <f t="shared" ref="GV31:GX31" si="1920">GU31</f>
        <v>0</v>
      </c>
      <c r="GW31" s="20">
        <f t="shared" si="1920"/>
        <v>0</v>
      </c>
      <c r="GX31" s="21">
        <f t="shared" si="1920"/>
        <v>0</v>
      </c>
      <c r="GY31" s="19">
        <v>0.0</v>
      </c>
      <c r="GZ31" s="20">
        <f t="shared" ref="GZ31:HB31" si="1921">GY31</f>
        <v>0</v>
      </c>
      <c r="HA31" s="20">
        <f t="shared" si="1921"/>
        <v>0</v>
      </c>
      <c r="HB31" s="21">
        <f t="shared" si="1921"/>
        <v>0</v>
      </c>
      <c r="HC31" s="19">
        <v>0.0</v>
      </c>
      <c r="HD31" s="20">
        <f t="shared" si="1430"/>
        <v>0</v>
      </c>
      <c r="HE31" s="20">
        <f t="shared" ref="HE31:HF31" si="1922">HD31</f>
        <v>0</v>
      </c>
      <c r="HF31" s="21">
        <f t="shared" si="1922"/>
        <v>0</v>
      </c>
      <c r="HG31" s="19">
        <v>0.0</v>
      </c>
      <c r="HH31" s="20">
        <f t="shared" ref="HH31:HJ31" si="1923">HG31</f>
        <v>0</v>
      </c>
      <c r="HI31" s="20">
        <f t="shared" si="1923"/>
        <v>0</v>
      </c>
      <c r="HJ31" s="21">
        <f t="shared" si="1923"/>
        <v>0</v>
      </c>
      <c r="HK31" s="19">
        <v>0.0</v>
      </c>
      <c r="HL31" s="20">
        <f t="shared" ref="HL31:HN31" si="1924">HK31</f>
        <v>0</v>
      </c>
      <c r="HM31" s="20">
        <f t="shared" si="1924"/>
        <v>0</v>
      </c>
      <c r="HN31" s="21">
        <f t="shared" si="1924"/>
        <v>0</v>
      </c>
      <c r="HO31" s="19">
        <v>0.0</v>
      </c>
      <c r="HP31" s="20">
        <f t="shared" ref="HP31:HR31" si="1925">HO31</f>
        <v>0</v>
      </c>
      <c r="HQ31" s="20">
        <f t="shared" si="1925"/>
        <v>0</v>
      </c>
      <c r="HR31" s="21">
        <f t="shared" si="1925"/>
        <v>0</v>
      </c>
      <c r="HS31" s="19">
        <v>0.0</v>
      </c>
      <c r="HT31" s="20">
        <f t="shared" ref="HT31:HV31" si="1926">HS31</f>
        <v>0</v>
      </c>
      <c r="HU31" s="20">
        <f t="shared" si="1926"/>
        <v>0</v>
      </c>
      <c r="HV31" s="21">
        <f t="shared" si="1926"/>
        <v>0</v>
      </c>
      <c r="HW31" s="19">
        <v>0.0</v>
      </c>
      <c r="HX31" s="20">
        <f t="shared" ref="HX31:HZ31" si="1927">HW31</f>
        <v>0</v>
      </c>
      <c r="HY31" s="20">
        <f t="shared" si="1927"/>
        <v>0</v>
      </c>
      <c r="HZ31" s="21">
        <f t="shared" si="1927"/>
        <v>0</v>
      </c>
      <c r="IA31" s="19">
        <v>0.0</v>
      </c>
      <c r="IB31" s="20">
        <f t="shared" si="1789"/>
        <v>0</v>
      </c>
      <c r="IC31" s="20">
        <f t="shared" ref="IC31:ID31" si="1928">IB31</f>
        <v>0</v>
      </c>
      <c r="ID31" s="21">
        <f t="shared" si="1928"/>
        <v>0</v>
      </c>
      <c r="IE31" s="19">
        <v>0.0</v>
      </c>
      <c r="IF31" s="20">
        <f t="shared" si="1929"/>
        <v>0</v>
      </c>
      <c r="IG31" s="20">
        <f t="shared" ref="IG31:IH31" si="1930">IF31</f>
        <v>0</v>
      </c>
      <c r="IH31" s="21">
        <f t="shared" si="1930"/>
        <v>0</v>
      </c>
      <c r="II31" s="19">
        <v>0.0</v>
      </c>
      <c r="IJ31" s="20">
        <f t="shared" ref="IJ31:IL31" si="1931">II31</f>
        <v>0</v>
      </c>
      <c r="IK31" s="20">
        <f t="shared" si="1931"/>
        <v>0</v>
      </c>
      <c r="IL31" s="21">
        <f t="shared" si="1931"/>
        <v>0</v>
      </c>
      <c r="IM31" s="19">
        <v>0.0</v>
      </c>
      <c r="IN31" s="20">
        <f t="shared" ref="IN31:IP31" si="1932">IM31</f>
        <v>0</v>
      </c>
      <c r="IO31" s="20">
        <f t="shared" si="1932"/>
        <v>0</v>
      </c>
      <c r="IP31" s="21">
        <f t="shared" si="1932"/>
        <v>0</v>
      </c>
      <c r="IQ31" s="19">
        <v>9500.0</v>
      </c>
      <c r="IR31" s="20">
        <f t="shared" ref="IR31:IT31" si="1933">IQ31</f>
        <v>9500</v>
      </c>
      <c r="IS31" s="20">
        <f t="shared" si="1933"/>
        <v>9500</v>
      </c>
      <c r="IT31" s="21">
        <f t="shared" si="1933"/>
        <v>9500</v>
      </c>
      <c r="IU31" s="19">
        <v>0.0</v>
      </c>
      <c r="IV31" s="20">
        <f t="shared" si="1305"/>
        <v>0</v>
      </c>
      <c r="IW31" s="20">
        <f t="shared" ref="IW31:IX31" si="1934">IV31</f>
        <v>0</v>
      </c>
      <c r="IX31" s="21">
        <f t="shared" si="1934"/>
        <v>0</v>
      </c>
      <c r="IY31" s="19">
        <v>1000.0</v>
      </c>
      <c r="IZ31" s="20">
        <f t="shared" ref="IZ31:JB31" si="1935">IY31</f>
        <v>1000</v>
      </c>
      <c r="JA31" s="20">
        <f t="shared" si="1935"/>
        <v>1000</v>
      </c>
      <c r="JB31" s="21">
        <f t="shared" si="1935"/>
        <v>1000</v>
      </c>
      <c r="JC31" s="19">
        <v>0.0</v>
      </c>
      <c r="JD31" s="20">
        <f t="shared" ref="JD31:JF31" si="1936">JC31</f>
        <v>0</v>
      </c>
      <c r="JE31" s="20">
        <f t="shared" si="1936"/>
        <v>0</v>
      </c>
      <c r="JF31" s="20">
        <f t="shared" si="1936"/>
        <v>0</v>
      </c>
      <c r="JG31" s="19">
        <v>0.0</v>
      </c>
      <c r="JH31" s="20">
        <f t="shared" ref="JH31:JJ31" si="1937">JG31</f>
        <v>0</v>
      </c>
      <c r="JI31" s="20">
        <f t="shared" si="1937"/>
        <v>0</v>
      </c>
      <c r="JJ31" s="21">
        <f t="shared" si="1937"/>
        <v>0</v>
      </c>
      <c r="JK31" s="19">
        <v>0.0</v>
      </c>
      <c r="JL31" s="20">
        <f t="shared" ref="JL31:JN31" si="1938">JK31</f>
        <v>0</v>
      </c>
      <c r="JM31" s="20">
        <f t="shared" si="1938"/>
        <v>0</v>
      </c>
      <c r="JN31" s="21">
        <f t="shared" si="1938"/>
        <v>0</v>
      </c>
      <c r="JO31" s="19">
        <v>0.0</v>
      </c>
      <c r="JP31" s="20">
        <f t="shared" ref="JP31:JR31" si="1939">JO31</f>
        <v>0</v>
      </c>
      <c r="JQ31" s="20">
        <f t="shared" si="1939"/>
        <v>0</v>
      </c>
      <c r="JR31" s="21">
        <f t="shared" si="1939"/>
        <v>0</v>
      </c>
      <c r="JS31" s="19">
        <v>0.0</v>
      </c>
      <c r="JT31" s="20">
        <f t="shared" ref="JT31:JV31" si="1940">JS31</f>
        <v>0</v>
      </c>
      <c r="JU31" s="20">
        <f t="shared" si="1940"/>
        <v>0</v>
      </c>
      <c r="JV31" s="21">
        <f t="shared" si="1940"/>
        <v>0</v>
      </c>
      <c r="JW31" s="19">
        <v>0.0</v>
      </c>
      <c r="JX31" s="20">
        <f t="shared" ref="JX31:JZ31" si="1941">JW31</f>
        <v>0</v>
      </c>
      <c r="JY31" s="20">
        <f t="shared" si="1941"/>
        <v>0</v>
      </c>
      <c r="JZ31" s="21">
        <f t="shared" si="1941"/>
        <v>0</v>
      </c>
    </row>
    <row r="32" ht="15.75" customHeight="1">
      <c r="A32" s="24" t="s">
        <v>110</v>
      </c>
      <c r="B32" s="18"/>
      <c r="C32" s="19">
        <v>2500.0</v>
      </c>
      <c r="D32" s="20">
        <f t="shared" ref="D32:F32" si="1942">C32</f>
        <v>2500</v>
      </c>
      <c r="E32" s="20">
        <f t="shared" si="1942"/>
        <v>2500</v>
      </c>
      <c r="F32" s="21">
        <f t="shared" si="1942"/>
        <v>2500</v>
      </c>
      <c r="G32" s="19">
        <v>0.0</v>
      </c>
      <c r="H32" s="20">
        <f t="shared" ref="H32:J32" si="1943">G32</f>
        <v>0</v>
      </c>
      <c r="I32" s="20">
        <f t="shared" si="1943"/>
        <v>0</v>
      </c>
      <c r="J32" s="21">
        <f t="shared" si="1943"/>
        <v>0</v>
      </c>
      <c r="K32" s="19">
        <v>0.0</v>
      </c>
      <c r="L32" s="20">
        <f t="shared" ref="L32:N32" si="1944">K32</f>
        <v>0</v>
      </c>
      <c r="M32" s="20">
        <f t="shared" si="1944"/>
        <v>0</v>
      </c>
      <c r="N32" s="21">
        <f t="shared" si="1944"/>
        <v>0</v>
      </c>
      <c r="O32" s="19">
        <v>1000.0</v>
      </c>
      <c r="P32" s="20">
        <f t="shared" ref="P32:R32" si="1945">O32</f>
        <v>1000</v>
      </c>
      <c r="Q32" s="20">
        <f t="shared" si="1945"/>
        <v>1000</v>
      </c>
      <c r="R32" s="21">
        <f t="shared" si="1945"/>
        <v>1000</v>
      </c>
      <c r="S32" s="19">
        <v>4000.0</v>
      </c>
      <c r="T32" s="20">
        <f t="shared" ref="T32:V32" si="1946">S32</f>
        <v>4000</v>
      </c>
      <c r="U32" s="20">
        <f t="shared" si="1946"/>
        <v>4000</v>
      </c>
      <c r="V32" s="21">
        <f t="shared" si="1946"/>
        <v>4000</v>
      </c>
      <c r="W32" s="36">
        <v>55000.0</v>
      </c>
      <c r="X32" s="20">
        <f t="shared" ref="X32:Z32" si="1947">W32</f>
        <v>55000</v>
      </c>
      <c r="Y32" s="20">
        <f t="shared" si="1947"/>
        <v>55000</v>
      </c>
      <c r="Z32" s="21">
        <f t="shared" si="1947"/>
        <v>55000</v>
      </c>
      <c r="AA32" s="19">
        <v>0.0</v>
      </c>
      <c r="AB32" s="20">
        <f t="shared" ref="AB32:AD32" si="1948">AA32</f>
        <v>0</v>
      </c>
      <c r="AC32" s="20">
        <f t="shared" si="1948"/>
        <v>0</v>
      </c>
      <c r="AD32" s="21">
        <f t="shared" si="1948"/>
        <v>0</v>
      </c>
      <c r="AE32" s="19">
        <v>0.0</v>
      </c>
      <c r="AF32" s="20">
        <f t="shared" ref="AF32:AH32" si="1949">AE32</f>
        <v>0</v>
      </c>
      <c r="AG32" s="20">
        <f t="shared" si="1949"/>
        <v>0</v>
      </c>
      <c r="AH32" s="21">
        <f t="shared" si="1949"/>
        <v>0</v>
      </c>
      <c r="AI32" s="19">
        <v>300.0</v>
      </c>
      <c r="AJ32" s="20">
        <v>0.0</v>
      </c>
      <c r="AK32" s="20">
        <f t="shared" ref="AK32:AL32" si="1950">AJ32</f>
        <v>0</v>
      </c>
      <c r="AL32" s="21">
        <f t="shared" si="1950"/>
        <v>0</v>
      </c>
      <c r="AM32" s="19">
        <v>0.0</v>
      </c>
      <c r="AN32" s="20">
        <f t="shared" ref="AN32:AP32" si="1951">AM32</f>
        <v>0</v>
      </c>
      <c r="AO32" s="20">
        <f t="shared" si="1951"/>
        <v>0</v>
      </c>
      <c r="AP32" s="21">
        <f t="shared" si="1951"/>
        <v>0</v>
      </c>
      <c r="AQ32" s="19">
        <v>3500.0</v>
      </c>
      <c r="AR32" s="20">
        <f t="shared" ref="AR32:AT32" si="1952">AQ32</f>
        <v>3500</v>
      </c>
      <c r="AS32" s="20">
        <f t="shared" si="1952"/>
        <v>3500</v>
      </c>
      <c r="AT32" s="21">
        <f t="shared" si="1952"/>
        <v>3500</v>
      </c>
      <c r="AU32" s="19">
        <v>20000.0</v>
      </c>
      <c r="AV32" s="20">
        <f t="shared" ref="AV32:AX32" si="1953">AU32</f>
        <v>20000</v>
      </c>
      <c r="AW32" s="20">
        <f t="shared" si="1953"/>
        <v>20000</v>
      </c>
      <c r="AX32" s="21">
        <f t="shared" si="1953"/>
        <v>20000</v>
      </c>
      <c r="AY32" s="19">
        <v>1500.0</v>
      </c>
      <c r="AZ32" s="20">
        <f t="shared" ref="AZ32:BB32" si="1954">AY32</f>
        <v>1500</v>
      </c>
      <c r="BA32" s="20">
        <f t="shared" si="1954"/>
        <v>1500</v>
      </c>
      <c r="BB32" s="21">
        <f t="shared" si="1954"/>
        <v>1500</v>
      </c>
      <c r="BC32" s="19">
        <v>3500.0</v>
      </c>
      <c r="BD32" s="20">
        <f t="shared" ref="BD32:BF32" si="1955">BC32</f>
        <v>3500</v>
      </c>
      <c r="BE32" s="20">
        <f t="shared" si="1955"/>
        <v>3500</v>
      </c>
      <c r="BF32" s="21">
        <f t="shared" si="1955"/>
        <v>3500</v>
      </c>
      <c r="BG32" s="19">
        <v>10000.0</v>
      </c>
      <c r="BH32" s="20">
        <v>0.0</v>
      </c>
      <c r="BI32" s="20">
        <f t="shared" ref="BI32:BJ32" si="1956">BH32</f>
        <v>0</v>
      </c>
      <c r="BJ32" s="21">
        <f t="shared" si="1956"/>
        <v>0</v>
      </c>
      <c r="BK32" s="19">
        <v>0.0</v>
      </c>
      <c r="BL32" s="20">
        <f t="shared" ref="BL32:BN32" si="1957">BK32</f>
        <v>0</v>
      </c>
      <c r="BM32" s="20">
        <f t="shared" si="1957"/>
        <v>0</v>
      </c>
      <c r="BN32" s="21">
        <f t="shared" si="1957"/>
        <v>0</v>
      </c>
      <c r="BO32" s="19">
        <v>0.0</v>
      </c>
      <c r="BP32" s="20">
        <f t="shared" ref="BP32:BR32" si="1958">BO32</f>
        <v>0</v>
      </c>
      <c r="BQ32" s="20">
        <f t="shared" si="1958"/>
        <v>0</v>
      </c>
      <c r="BR32" s="21">
        <f t="shared" si="1958"/>
        <v>0</v>
      </c>
      <c r="BS32" s="19">
        <v>0.0</v>
      </c>
      <c r="BT32" s="20">
        <f t="shared" ref="BT32:BV32" si="1959">BS32</f>
        <v>0</v>
      </c>
      <c r="BU32" s="20">
        <f t="shared" si="1959"/>
        <v>0</v>
      </c>
      <c r="BV32" s="21">
        <f t="shared" si="1959"/>
        <v>0</v>
      </c>
      <c r="BW32" s="19">
        <v>0.0</v>
      </c>
      <c r="BX32" s="20">
        <f t="shared" ref="BX32:BZ32" si="1960">BW32</f>
        <v>0</v>
      </c>
      <c r="BY32" s="20">
        <f t="shared" si="1960"/>
        <v>0</v>
      </c>
      <c r="BZ32" s="21">
        <f t="shared" si="1960"/>
        <v>0</v>
      </c>
      <c r="CA32" s="19">
        <v>0.0</v>
      </c>
      <c r="CB32" s="20">
        <f t="shared" ref="CB32:CD32" si="1961">CA32</f>
        <v>0</v>
      </c>
      <c r="CC32" s="20">
        <f t="shared" si="1961"/>
        <v>0</v>
      </c>
      <c r="CD32" s="21">
        <f t="shared" si="1961"/>
        <v>0</v>
      </c>
      <c r="CE32" s="19">
        <v>0.0</v>
      </c>
      <c r="CF32" s="20">
        <f t="shared" ref="CF32:CH32" si="1962">CE32</f>
        <v>0</v>
      </c>
      <c r="CG32" s="20">
        <f t="shared" si="1962"/>
        <v>0</v>
      </c>
      <c r="CH32" s="21">
        <f t="shared" si="1962"/>
        <v>0</v>
      </c>
      <c r="CI32" s="19">
        <v>0.0</v>
      </c>
      <c r="CJ32" s="20">
        <f t="shared" ref="CJ32:CL32" si="1963">CI32</f>
        <v>0</v>
      </c>
      <c r="CK32" s="20">
        <f t="shared" si="1963"/>
        <v>0</v>
      </c>
      <c r="CL32" s="21">
        <f t="shared" si="1963"/>
        <v>0</v>
      </c>
      <c r="CM32" s="19">
        <v>0.0</v>
      </c>
      <c r="CN32" s="20">
        <f t="shared" ref="CN32:CP32" si="1964">CM32</f>
        <v>0</v>
      </c>
      <c r="CO32" s="20">
        <f t="shared" si="1964"/>
        <v>0</v>
      </c>
      <c r="CP32" s="21">
        <f t="shared" si="1964"/>
        <v>0</v>
      </c>
      <c r="CQ32" s="19">
        <v>0.0</v>
      </c>
      <c r="CR32" s="20">
        <f t="shared" ref="CR32:CT32" si="1965">CQ32</f>
        <v>0</v>
      </c>
      <c r="CS32" s="20">
        <f t="shared" si="1965"/>
        <v>0</v>
      </c>
      <c r="CT32" s="21">
        <f t="shared" si="1965"/>
        <v>0</v>
      </c>
      <c r="CU32" s="19">
        <v>0.0</v>
      </c>
      <c r="CV32" s="20">
        <f t="shared" ref="CV32:CX32" si="1966">CU32</f>
        <v>0</v>
      </c>
      <c r="CW32" s="20">
        <f t="shared" si="1966"/>
        <v>0</v>
      </c>
      <c r="CX32" s="21">
        <f t="shared" si="1966"/>
        <v>0</v>
      </c>
      <c r="CY32" s="19">
        <v>0.0</v>
      </c>
      <c r="CZ32" s="20">
        <f t="shared" ref="CZ32:DB32" si="1967">CY32</f>
        <v>0</v>
      </c>
      <c r="DA32" s="20">
        <f t="shared" si="1967"/>
        <v>0</v>
      </c>
      <c r="DB32" s="21">
        <f t="shared" si="1967"/>
        <v>0</v>
      </c>
      <c r="DC32" s="19">
        <v>0.0</v>
      </c>
      <c r="DD32" s="20">
        <f t="shared" ref="DD32:DF32" si="1968">DC32</f>
        <v>0</v>
      </c>
      <c r="DE32" s="20">
        <f t="shared" si="1968"/>
        <v>0</v>
      </c>
      <c r="DF32" s="21">
        <f t="shared" si="1968"/>
        <v>0</v>
      </c>
      <c r="DG32" s="19">
        <v>0.0</v>
      </c>
      <c r="DH32" s="20">
        <f t="shared" ref="DH32:DJ32" si="1969">DG32</f>
        <v>0</v>
      </c>
      <c r="DI32" s="20">
        <f t="shared" si="1969"/>
        <v>0</v>
      </c>
      <c r="DJ32" s="21">
        <f t="shared" si="1969"/>
        <v>0</v>
      </c>
      <c r="DK32" s="19">
        <v>0.0</v>
      </c>
      <c r="DL32" s="20">
        <f t="shared" ref="DL32:DN32" si="1970">DK32</f>
        <v>0</v>
      </c>
      <c r="DM32" s="20">
        <f t="shared" si="1970"/>
        <v>0</v>
      </c>
      <c r="DN32" s="21">
        <f t="shared" si="1970"/>
        <v>0</v>
      </c>
      <c r="DO32" s="19">
        <v>0.0</v>
      </c>
      <c r="DP32" s="20">
        <f t="shared" ref="DP32:DR32" si="1971">DO32</f>
        <v>0</v>
      </c>
      <c r="DQ32" s="20">
        <f t="shared" si="1971"/>
        <v>0</v>
      </c>
      <c r="DR32" s="21">
        <f t="shared" si="1971"/>
        <v>0</v>
      </c>
      <c r="DS32" s="19">
        <v>1000.0</v>
      </c>
      <c r="DT32" s="20">
        <f t="shared" ref="DT32:DV32" si="1972">DS32</f>
        <v>1000</v>
      </c>
      <c r="DU32" s="20">
        <f t="shared" si="1972"/>
        <v>1000</v>
      </c>
      <c r="DV32" s="21">
        <f t="shared" si="1972"/>
        <v>1000</v>
      </c>
      <c r="DW32" s="19">
        <v>0.0</v>
      </c>
      <c r="DX32" s="20">
        <f t="shared" ref="DX32:DZ32" si="1973">DW32</f>
        <v>0</v>
      </c>
      <c r="DY32" s="20">
        <f t="shared" si="1973"/>
        <v>0</v>
      </c>
      <c r="DZ32" s="21">
        <f t="shared" si="1973"/>
        <v>0</v>
      </c>
      <c r="EA32" s="19">
        <v>0.0</v>
      </c>
      <c r="EB32" s="20">
        <f t="shared" ref="EB32:ED32" si="1974">EA32</f>
        <v>0</v>
      </c>
      <c r="EC32" s="20">
        <f t="shared" si="1974"/>
        <v>0</v>
      </c>
      <c r="ED32" s="21">
        <f t="shared" si="1974"/>
        <v>0</v>
      </c>
      <c r="EE32" s="19">
        <v>0.0</v>
      </c>
      <c r="EF32" s="20">
        <f t="shared" ref="EF32:EH32" si="1975">EE32</f>
        <v>0</v>
      </c>
      <c r="EG32" s="20">
        <f t="shared" si="1975"/>
        <v>0</v>
      </c>
      <c r="EH32" s="21">
        <f t="shared" si="1975"/>
        <v>0</v>
      </c>
      <c r="EI32" s="19">
        <v>0.0</v>
      </c>
      <c r="EJ32" s="21">
        <f t="shared" ref="EJ32:EK32" si="1976">EI32</f>
        <v>0</v>
      </c>
      <c r="EK32" s="21">
        <f t="shared" si="1976"/>
        <v>0</v>
      </c>
      <c r="EL32" s="21">
        <f t="shared" si="797"/>
        <v>0</v>
      </c>
      <c r="EM32" s="19">
        <v>0.0</v>
      </c>
      <c r="EN32" s="20">
        <f t="shared" ref="EN32:EP32" si="1977">EM32</f>
        <v>0</v>
      </c>
      <c r="EO32" s="20">
        <f t="shared" si="1977"/>
        <v>0</v>
      </c>
      <c r="EP32" s="21">
        <f t="shared" si="1977"/>
        <v>0</v>
      </c>
      <c r="EQ32" s="19">
        <v>3500.0</v>
      </c>
      <c r="ER32" s="20">
        <f t="shared" ref="ER32:ET32" si="1978">EQ32</f>
        <v>3500</v>
      </c>
      <c r="ES32" s="20">
        <f t="shared" si="1978"/>
        <v>3500</v>
      </c>
      <c r="ET32" s="21">
        <f t="shared" si="1978"/>
        <v>3500</v>
      </c>
      <c r="EU32" s="19">
        <v>500.0</v>
      </c>
      <c r="EV32" s="20">
        <v>0.0</v>
      </c>
      <c r="EW32" s="20">
        <v>500.0</v>
      </c>
      <c r="EX32" s="21">
        <f t="shared" si="1907"/>
        <v>500</v>
      </c>
      <c r="EY32" s="19">
        <v>0.0</v>
      </c>
      <c r="EZ32" s="20">
        <f t="shared" ref="EZ32:FB32" si="1979">EY32</f>
        <v>0</v>
      </c>
      <c r="FA32" s="20">
        <f t="shared" si="1979"/>
        <v>0</v>
      </c>
      <c r="FB32" s="21">
        <f t="shared" si="1979"/>
        <v>0</v>
      </c>
      <c r="FC32" s="19">
        <v>0.0</v>
      </c>
      <c r="FD32" s="20">
        <f t="shared" ref="FD32:FF32" si="1980">FC32</f>
        <v>0</v>
      </c>
      <c r="FE32" s="20">
        <f t="shared" si="1980"/>
        <v>0</v>
      </c>
      <c r="FF32" s="21">
        <f t="shared" si="1980"/>
        <v>0</v>
      </c>
      <c r="FG32" s="19">
        <v>0.0</v>
      </c>
      <c r="FH32" s="20">
        <f t="shared" ref="FH32:FJ32" si="1981">FG32</f>
        <v>0</v>
      </c>
      <c r="FI32" s="20">
        <f t="shared" si="1981"/>
        <v>0</v>
      </c>
      <c r="FJ32" s="21">
        <f t="shared" si="1981"/>
        <v>0</v>
      </c>
      <c r="FK32" s="19">
        <v>0.0</v>
      </c>
      <c r="FL32" s="20">
        <f t="shared" ref="FL32:FN32" si="1982">FK32</f>
        <v>0</v>
      </c>
      <c r="FM32" s="20">
        <f t="shared" si="1982"/>
        <v>0</v>
      </c>
      <c r="FN32" s="21">
        <f t="shared" si="1982"/>
        <v>0</v>
      </c>
      <c r="FO32" s="19">
        <v>0.0</v>
      </c>
      <c r="FP32" s="20">
        <f t="shared" ref="FP32:FR32" si="1983">FO32</f>
        <v>0</v>
      </c>
      <c r="FQ32" s="20">
        <f t="shared" si="1983"/>
        <v>0</v>
      </c>
      <c r="FR32" s="21">
        <f t="shared" si="1983"/>
        <v>0</v>
      </c>
      <c r="FS32" s="19">
        <v>0.0</v>
      </c>
      <c r="FT32" s="20">
        <f t="shared" ref="FT32:FV32" si="1984">FS32</f>
        <v>0</v>
      </c>
      <c r="FU32" s="20">
        <f t="shared" si="1984"/>
        <v>0</v>
      </c>
      <c r="FV32" s="21">
        <f t="shared" si="1984"/>
        <v>0</v>
      </c>
      <c r="FW32" s="19">
        <v>0.0</v>
      </c>
      <c r="FX32" s="20">
        <f t="shared" si="1284"/>
        <v>0</v>
      </c>
      <c r="FY32" s="20">
        <f t="shared" ref="FY32:FZ32" si="1985">FX32</f>
        <v>0</v>
      </c>
      <c r="FZ32" s="21">
        <f t="shared" si="1985"/>
        <v>0</v>
      </c>
      <c r="GA32" s="19">
        <v>0.0</v>
      </c>
      <c r="GB32" s="20">
        <f t="shared" si="1286"/>
        <v>0</v>
      </c>
      <c r="GC32" s="20">
        <f t="shared" ref="GC32:GD32" si="1986">GB32</f>
        <v>0</v>
      </c>
      <c r="GD32" s="21">
        <f t="shared" si="1986"/>
        <v>0</v>
      </c>
      <c r="GE32" s="19">
        <v>0.0</v>
      </c>
      <c r="GF32" s="20">
        <f t="shared" ref="GF32:GH32" si="1987">GE32</f>
        <v>0</v>
      </c>
      <c r="GG32" s="20">
        <f t="shared" si="1987"/>
        <v>0</v>
      </c>
      <c r="GH32" s="21">
        <f t="shared" si="1987"/>
        <v>0</v>
      </c>
      <c r="GI32" s="19">
        <v>0.0</v>
      </c>
      <c r="GJ32" s="20">
        <f t="shared" ref="GJ32:GL32" si="1988">GI32</f>
        <v>0</v>
      </c>
      <c r="GK32" s="20">
        <f t="shared" si="1988"/>
        <v>0</v>
      </c>
      <c r="GL32" s="20">
        <f t="shared" si="1988"/>
        <v>0</v>
      </c>
      <c r="GM32" s="22">
        <v>0.0</v>
      </c>
      <c r="GN32" s="20">
        <f t="shared" ref="GN32:GP32" si="1989">GM32</f>
        <v>0</v>
      </c>
      <c r="GO32" s="20">
        <f t="shared" si="1989"/>
        <v>0</v>
      </c>
      <c r="GP32" s="21">
        <f t="shared" si="1989"/>
        <v>0</v>
      </c>
      <c r="GQ32" s="19">
        <v>0.0</v>
      </c>
      <c r="GR32" s="20">
        <f t="shared" ref="GR32:GT32" si="1990">GQ32</f>
        <v>0</v>
      </c>
      <c r="GS32" s="20">
        <f t="shared" si="1990"/>
        <v>0</v>
      </c>
      <c r="GT32" s="21">
        <f t="shared" si="1990"/>
        <v>0</v>
      </c>
      <c r="GU32" s="19">
        <v>0.0</v>
      </c>
      <c r="GV32" s="20">
        <f t="shared" ref="GV32:GX32" si="1991">GU32</f>
        <v>0</v>
      </c>
      <c r="GW32" s="20">
        <f t="shared" si="1991"/>
        <v>0</v>
      </c>
      <c r="GX32" s="21">
        <f t="shared" si="1991"/>
        <v>0</v>
      </c>
      <c r="GY32" s="19">
        <v>0.0</v>
      </c>
      <c r="GZ32" s="20">
        <f t="shared" ref="GZ32:HB32" si="1992">GY32</f>
        <v>0</v>
      </c>
      <c r="HA32" s="20">
        <f t="shared" si="1992"/>
        <v>0</v>
      </c>
      <c r="HB32" s="21">
        <f t="shared" si="1992"/>
        <v>0</v>
      </c>
      <c r="HC32" s="19">
        <v>0.0</v>
      </c>
      <c r="HD32" s="20">
        <f t="shared" si="1430"/>
        <v>0</v>
      </c>
      <c r="HE32" s="20">
        <f t="shared" ref="HE32:HF32" si="1993">HD32</f>
        <v>0</v>
      </c>
      <c r="HF32" s="21">
        <f t="shared" si="1993"/>
        <v>0</v>
      </c>
      <c r="HG32" s="19">
        <v>0.0</v>
      </c>
      <c r="HH32" s="20">
        <f t="shared" ref="HH32:HJ32" si="1994">HG32</f>
        <v>0</v>
      </c>
      <c r="HI32" s="20">
        <f t="shared" si="1994"/>
        <v>0</v>
      </c>
      <c r="HJ32" s="21">
        <f t="shared" si="1994"/>
        <v>0</v>
      </c>
      <c r="HK32" s="19">
        <v>0.0</v>
      </c>
      <c r="HL32" s="20">
        <f t="shared" ref="HL32:HN32" si="1995">HK32</f>
        <v>0</v>
      </c>
      <c r="HM32" s="20">
        <f t="shared" si="1995"/>
        <v>0</v>
      </c>
      <c r="HN32" s="21">
        <f t="shared" si="1995"/>
        <v>0</v>
      </c>
      <c r="HO32" s="19">
        <v>0.0</v>
      </c>
      <c r="HP32" s="20">
        <f t="shared" ref="HP32:HR32" si="1996">HO32</f>
        <v>0</v>
      </c>
      <c r="HQ32" s="20">
        <f t="shared" si="1996"/>
        <v>0</v>
      </c>
      <c r="HR32" s="21">
        <f t="shared" si="1996"/>
        <v>0</v>
      </c>
      <c r="HS32" s="19">
        <v>0.0</v>
      </c>
      <c r="HT32" s="20">
        <f t="shared" ref="HT32:HV32" si="1997">HS32</f>
        <v>0</v>
      </c>
      <c r="HU32" s="20">
        <f t="shared" si="1997"/>
        <v>0</v>
      </c>
      <c r="HV32" s="21">
        <f t="shared" si="1997"/>
        <v>0</v>
      </c>
      <c r="HW32" s="19">
        <v>0.0</v>
      </c>
      <c r="HX32" s="20">
        <f t="shared" ref="HX32:HZ32" si="1998">HW32</f>
        <v>0</v>
      </c>
      <c r="HY32" s="20">
        <f t="shared" si="1998"/>
        <v>0</v>
      </c>
      <c r="HZ32" s="21">
        <f t="shared" si="1998"/>
        <v>0</v>
      </c>
      <c r="IA32" s="19">
        <v>0.0</v>
      </c>
      <c r="IB32" s="20">
        <f t="shared" si="1789"/>
        <v>0</v>
      </c>
      <c r="IC32" s="20">
        <f t="shared" ref="IC32:ID32" si="1999">IB32</f>
        <v>0</v>
      </c>
      <c r="ID32" s="21">
        <f t="shared" si="1999"/>
        <v>0</v>
      </c>
      <c r="IE32" s="19">
        <v>0.0</v>
      </c>
      <c r="IF32" s="20">
        <f t="shared" si="1929"/>
        <v>0</v>
      </c>
      <c r="IG32" s="20">
        <f t="shared" ref="IG32:IH32" si="2000">IF32</f>
        <v>0</v>
      </c>
      <c r="IH32" s="21">
        <f t="shared" si="2000"/>
        <v>0</v>
      </c>
      <c r="II32" s="19">
        <v>0.0</v>
      </c>
      <c r="IJ32" s="20">
        <f t="shared" ref="IJ32:IL32" si="2001">II32</f>
        <v>0</v>
      </c>
      <c r="IK32" s="20">
        <f t="shared" si="2001"/>
        <v>0</v>
      </c>
      <c r="IL32" s="21">
        <f t="shared" si="2001"/>
        <v>0</v>
      </c>
      <c r="IM32" s="19">
        <v>0.0</v>
      </c>
      <c r="IN32" s="20">
        <f t="shared" ref="IN32:IP32" si="2002">IM32</f>
        <v>0</v>
      </c>
      <c r="IO32" s="20">
        <f t="shared" si="2002"/>
        <v>0</v>
      </c>
      <c r="IP32" s="21">
        <f t="shared" si="2002"/>
        <v>0</v>
      </c>
      <c r="IQ32" s="19">
        <v>0.0</v>
      </c>
      <c r="IR32" s="20">
        <f t="shared" ref="IR32:IT32" si="2003">IQ32</f>
        <v>0</v>
      </c>
      <c r="IS32" s="20">
        <f t="shared" si="2003"/>
        <v>0</v>
      </c>
      <c r="IT32" s="21">
        <f t="shared" si="2003"/>
        <v>0</v>
      </c>
      <c r="IU32" s="19">
        <v>0.0</v>
      </c>
      <c r="IV32" s="20">
        <f t="shared" si="1305"/>
        <v>0</v>
      </c>
      <c r="IW32" s="20">
        <f t="shared" ref="IW32:IX32" si="2004">IV32</f>
        <v>0</v>
      </c>
      <c r="IX32" s="21">
        <f t="shared" si="2004"/>
        <v>0</v>
      </c>
      <c r="IY32" s="19">
        <v>0.0</v>
      </c>
      <c r="IZ32" s="20">
        <f t="shared" ref="IZ32:JB32" si="2005">IY32</f>
        <v>0</v>
      </c>
      <c r="JA32" s="20">
        <f t="shared" si="2005"/>
        <v>0</v>
      </c>
      <c r="JB32" s="21">
        <f t="shared" si="2005"/>
        <v>0</v>
      </c>
      <c r="JC32" s="19">
        <v>0.0</v>
      </c>
      <c r="JD32" s="20">
        <f t="shared" ref="JD32:JF32" si="2006">JC32</f>
        <v>0</v>
      </c>
      <c r="JE32" s="20">
        <f t="shared" si="2006"/>
        <v>0</v>
      </c>
      <c r="JF32" s="20">
        <f t="shared" si="2006"/>
        <v>0</v>
      </c>
      <c r="JG32" s="19">
        <v>0.0</v>
      </c>
      <c r="JH32" s="20">
        <f t="shared" ref="JH32:JJ32" si="2007">JG32</f>
        <v>0</v>
      </c>
      <c r="JI32" s="20">
        <f t="shared" si="2007"/>
        <v>0</v>
      </c>
      <c r="JJ32" s="21">
        <f t="shared" si="2007"/>
        <v>0</v>
      </c>
      <c r="JK32" s="19">
        <v>0.0</v>
      </c>
      <c r="JL32" s="20">
        <f t="shared" ref="JL32:JN32" si="2008">JK32</f>
        <v>0</v>
      </c>
      <c r="JM32" s="20">
        <f t="shared" si="2008"/>
        <v>0</v>
      </c>
      <c r="JN32" s="21">
        <f t="shared" si="2008"/>
        <v>0</v>
      </c>
      <c r="JO32" s="19">
        <v>0.0</v>
      </c>
      <c r="JP32" s="20">
        <f t="shared" ref="JP32:JR32" si="2009">JO32</f>
        <v>0</v>
      </c>
      <c r="JQ32" s="20">
        <f t="shared" si="2009"/>
        <v>0</v>
      </c>
      <c r="JR32" s="21">
        <f t="shared" si="2009"/>
        <v>0</v>
      </c>
      <c r="JS32" s="19">
        <v>0.0</v>
      </c>
      <c r="JT32" s="20">
        <f t="shared" ref="JT32:JV32" si="2010">JS32</f>
        <v>0</v>
      </c>
      <c r="JU32" s="20">
        <f t="shared" si="2010"/>
        <v>0</v>
      </c>
      <c r="JV32" s="21">
        <f t="shared" si="2010"/>
        <v>0</v>
      </c>
      <c r="JW32" s="19">
        <v>0.0</v>
      </c>
      <c r="JX32" s="20">
        <f t="shared" ref="JX32:JZ32" si="2011">JW32</f>
        <v>0</v>
      </c>
      <c r="JY32" s="20">
        <f t="shared" si="2011"/>
        <v>0</v>
      </c>
      <c r="JZ32" s="21">
        <f t="shared" si="2011"/>
        <v>0</v>
      </c>
    </row>
    <row r="33" ht="15.75" customHeight="1">
      <c r="A33" s="24" t="s">
        <v>111</v>
      </c>
      <c r="B33" s="18"/>
      <c r="C33" s="19">
        <v>2500.0</v>
      </c>
      <c r="D33" s="20">
        <f t="shared" ref="D33:F33" si="2012">C33</f>
        <v>2500</v>
      </c>
      <c r="E33" s="20">
        <f t="shared" si="2012"/>
        <v>2500</v>
      </c>
      <c r="F33" s="21">
        <f t="shared" si="2012"/>
        <v>2500</v>
      </c>
      <c r="G33" s="19">
        <v>0.0</v>
      </c>
      <c r="H33" s="20">
        <f t="shared" ref="H33:J33" si="2013">G33</f>
        <v>0</v>
      </c>
      <c r="I33" s="20">
        <f t="shared" si="2013"/>
        <v>0</v>
      </c>
      <c r="J33" s="21">
        <f t="shared" si="2013"/>
        <v>0</v>
      </c>
      <c r="K33" s="19">
        <v>0.0</v>
      </c>
      <c r="L33" s="20">
        <f t="shared" ref="L33:N33" si="2014">K33</f>
        <v>0</v>
      </c>
      <c r="M33" s="20">
        <f t="shared" si="2014"/>
        <v>0</v>
      </c>
      <c r="N33" s="21">
        <f t="shared" si="2014"/>
        <v>0</v>
      </c>
      <c r="O33" s="19">
        <v>0.0</v>
      </c>
      <c r="P33" s="20">
        <f t="shared" ref="P33:R33" si="2015">O33</f>
        <v>0</v>
      </c>
      <c r="Q33" s="20">
        <f t="shared" si="2015"/>
        <v>0</v>
      </c>
      <c r="R33" s="21">
        <f t="shared" si="2015"/>
        <v>0</v>
      </c>
      <c r="S33" s="19">
        <v>0.0</v>
      </c>
      <c r="T33" s="20">
        <f t="shared" ref="T33:V33" si="2016">S33</f>
        <v>0</v>
      </c>
      <c r="U33" s="20">
        <f t="shared" si="2016"/>
        <v>0</v>
      </c>
      <c r="V33" s="21">
        <f t="shared" si="2016"/>
        <v>0</v>
      </c>
      <c r="W33" s="36">
        <v>3000.0</v>
      </c>
      <c r="X33" s="20">
        <f t="shared" ref="X33:X40" si="2046">W33</f>
        <v>3000</v>
      </c>
      <c r="Y33" s="20">
        <v>900.0</v>
      </c>
      <c r="Z33" s="21">
        <f>Y33</f>
        <v>900</v>
      </c>
      <c r="AA33" s="19">
        <v>0.0</v>
      </c>
      <c r="AB33" s="20">
        <f t="shared" ref="AB33:AD33" si="2017">AA33</f>
        <v>0</v>
      </c>
      <c r="AC33" s="20">
        <f t="shared" si="2017"/>
        <v>0</v>
      </c>
      <c r="AD33" s="21">
        <f t="shared" si="2017"/>
        <v>0</v>
      </c>
      <c r="AE33" s="19">
        <v>0.0</v>
      </c>
      <c r="AF33" s="20">
        <f t="shared" ref="AF33:AH33" si="2018">AE33</f>
        <v>0</v>
      </c>
      <c r="AG33" s="20">
        <f t="shared" si="2018"/>
        <v>0</v>
      </c>
      <c r="AH33" s="21">
        <f t="shared" si="2018"/>
        <v>0</v>
      </c>
      <c r="AI33" s="19">
        <v>1925.0</v>
      </c>
      <c r="AJ33" s="20">
        <v>0.0</v>
      </c>
      <c r="AK33" s="20">
        <v>720.0</v>
      </c>
      <c r="AL33" s="21">
        <v>200.0</v>
      </c>
      <c r="AM33" s="19">
        <v>500.0</v>
      </c>
      <c r="AN33" s="20">
        <f t="shared" ref="AN33:AP33" si="2019">AM33</f>
        <v>500</v>
      </c>
      <c r="AO33" s="20">
        <f t="shared" si="2019"/>
        <v>500</v>
      </c>
      <c r="AP33" s="21">
        <f t="shared" si="2019"/>
        <v>500</v>
      </c>
      <c r="AQ33" s="19">
        <v>500.0</v>
      </c>
      <c r="AR33" s="20">
        <f t="shared" ref="AR33:AT33" si="2020">AQ33</f>
        <v>500</v>
      </c>
      <c r="AS33" s="20">
        <f t="shared" si="2020"/>
        <v>500</v>
      </c>
      <c r="AT33" s="21">
        <f t="shared" si="2020"/>
        <v>500</v>
      </c>
      <c r="AU33" s="19">
        <v>0.0</v>
      </c>
      <c r="AV33" s="20">
        <f t="shared" ref="AV33:AX33" si="2021">AU33</f>
        <v>0</v>
      </c>
      <c r="AW33" s="20">
        <f t="shared" si="2021"/>
        <v>0</v>
      </c>
      <c r="AX33" s="21">
        <f t="shared" si="2021"/>
        <v>0</v>
      </c>
      <c r="AY33" s="19">
        <v>980.0</v>
      </c>
      <c r="AZ33" s="20">
        <f t="shared" ref="AZ33:AZ41" si="2053">AY33</f>
        <v>980</v>
      </c>
      <c r="BA33" s="20">
        <v>980.0</v>
      </c>
      <c r="BB33" s="21">
        <f>BA33</f>
        <v>980</v>
      </c>
      <c r="BC33" s="19">
        <v>500.0</v>
      </c>
      <c r="BD33" s="20">
        <f t="shared" ref="BD33:BF33" si="2022">BC33</f>
        <v>500</v>
      </c>
      <c r="BE33" s="20">
        <f t="shared" si="2022"/>
        <v>500</v>
      </c>
      <c r="BF33" s="21">
        <f t="shared" si="2022"/>
        <v>500</v>
      </c>
      <c r="BG33" s="19">
        <v>200.0</v>
      </c>
      <c r="BH33" s="20">
        <v>0.0</v>
      </c>
      <c r="BI33" s="20">
        <f t="shared" ref="BI33:BJ33" si="2023">BH33</f>
        <v>0</v>
      </c>
      <c r="BJ33" s="21">
        <f t="shared" si="2023"/>
        <v>0</v>
      </c>
      <c r="BK33" s="19">
        <v>20000.0</v>
      </c>
      <c r="BL33" s="20">
        <f t="shared" ref="BL33:BN33" si="2024">BK33</f>
        <v>20000</v>
      </c>
      <c r="BM33" s="20">
        <f t="shared" si="2024"/>
        <v>20000</v>
      </c>
      <c r="BN33" s="21">
        <f t="shared" si="2024"/>
        <v>20000</v>
      </c>
      <c r="BO33" s="19">
        <v>0.0</v>
      </c>
      <c r="BP33" s="20">
        <f t="shared" ref="BP33:BP36" si="2058">BO33</f>
        <v>0</v>
      </c>
      <c r="BQ33" s="20">
        <v>0.0</v>
      </c>
      <c r="BR33" s="21">
        <f>BQ33</f>
        <v>0</v>
      </c>
      <c r="BS33" s="19">
        <v>200.0</v>
      </c>
      <c r="BT33" s="20">
        <f t="shared" ref="BT33:BV33" si="2025">BS33</f>
        <v>200</v>
      </c>
      <c r="BU33" s="20">
        <f t="shared" si="2025"/>
        <v>200</v>
      </c>
      <c r="BV33" s="21">
        <f t="shared" si="2025"/>
        <v>200</v>
      </c>
      <c r="BW33" s="19">
        <v>0.0</v>
      </c>
      <c r="BX33" s="20">
        <f t="shared" ref="BX33:BZ33" si="2026">BW33</f>
        <v>0</v>
      </c>
      <c r="BY33" s="20">
        <f t="shared" si="2026"/>
        <v>0</v>
      </c>
      <c r="BZ33" s="21">
        <f t="shared" si="2026"/>
        <v>0</v>
      </c>
      <c r="CA33" s="19">
        <v>2450.0</v>
      </c>
      <c r="CB33" s="20">
        <f t="shared" ref="CB33:CB36" si="2062">CA33</f>
        <v>2450</v>
      </c>
      <c r="CC33" s="20">
        <v>1890.0</v>
      </c>
      <c r="CD33" s="21">
        <f>CC33</f>
        <v>1890</v>
      </c>
      <c r="CE33" s="19">
        <v>3250.0</v>
      </c>
      <c r="CF33" s="20">
        <f t="shared" ref="CF33:CH33" si="2027">CE33</f>
        <v>3250</v>
      </c>
      <c r="CG33" s="20">
        <f t="shared" si="2027"/>
        <v>3250</v>
      </c>
      <c r="CH33" s="21">
        <f t="shared" si="2027"/>
        <v>3250</v>
      </c>
      <c r="CI33" s="19">
        <v>0.0</v>
      </c>
      <c r="CJ33" s="20">
        <f t="shared" ref="CJ33:CL33" si="2028">CI33</f>
        <v>0</v>
      </c>
      <c r="CK33" s="20">
        <f t="shared" si="2028"/>
        <v>0</v>
      </c>
      <c r="CL33" s="21">
        <f t="shared" si="2028"/>
        <v>0</v>
      </c>
      <c r="CM33" s="19">
        <v>2000.0</v>
      </c>
      <c r="CN33" s="20">
        <f t="shared" ref="CN33:CN36" si="2066">CM33</f>
        <v>2000</v>
      </c>
      <c r="CO33" s="20">
        <v>1980.0</v>
      </c>
      <c r="CP33" s="21">
        <f>CO33</f>
        <v>1980</v>
      </c>
      <c r="CQ33" s="19">
        <v>0.0</v>
      </c>
      <c r="CR33" s="20">
        <f t="shared" ref="CR33:CT33" si="2029">CQ33</f>
        <v>0</v>
      </c>
      <c r="CS33" s="20">
        <f t="shared" si="2029"/>
        <v>0</v>
      </c>
      <c r="CT33" s="21">
        <f t="shared" si="2029"/>
        <v>0</v>
      </c>
      <c r="CU33" s="19">
        <v>8000.0</v>
      </c>
      <c r="CV33" s="20">
        <f t="shared" ref="CV33:CV34" si="2069">CU33</f>
        <v>8000</v>
      </c>
      <c r="CW33" s="20">
        <v>1530.0</v>
      </c>
      <c r="CX33" s="21">
        <f>CW33</f>
        <v>1530</v>
      </c>
      <c r="CY33" s="19">
        <v>3000.0</v>
      </c>
      <c r="CZ33" s="20">
        <v>5000.0</v>
      </c>
      <c r="DA33" s="20">
        <f t="shared" ref="DA33:DB33" si="2030">CZ33</f>
        <v>5000</v>
      </c>
      <c r="DB33" s="21">
        <f t="shared" si="2030"/>
        <v>5000</v>
      </c>
      <c r="DC33" s="19">
        <v>3000.0</v>
      </c>
      <c r="DD33" s="20">
        <f t="shared" ref="DD33:DD38" si="2072">DC33</f>
        <v>3000</v>
      </c>
      <c r="DE33" s="20">
        <v>1260.0</v>
      </c>
      <c r="DF33" s="21">
        <f>DE33</f>
        <v>1260</v>
      </c>
      <c r="DG33" s="19">
        <v>0.0</v>
      </c>
      <c r="DH33" s="20">
        <f t="shared" ref="DH33:DH40" si="2074">DG33</f>
        <v>0</v>
      </c>
      <c r="DI33" s="20">
        <v>0.0</v>
      </c>
      <c r="DJ33" s="21">
        <f>DI33</f>
        <v>0</v>
      </c>
      <c r="DK33" s="19">
        <v>400.0</v>
      </c>
      <c r="DL33" s="20">
        <f t="shared" ref="DL33:DL40" si="2076">DK33</f>
        <v>400</v>
      </c>
      <c r="DM33" s="20">
        <v>360.0</v>
      </c>
      <c r="DN33" s="21">
        <f>DM33</f>
        <v>360</v>
      </c>
      <c r="DO33" s="19">
        <v>0.0</v>
      </c>
      <c r="DP33" s="20">
        <f t="shared" ref="DP33:DR33" si="2031">DO33</f>
        <v>0</v>
      </c>
      <c r="DQ33" s="20">
        <f t="shared" si="2031"/>
        <v>0</v>
      </c>
      <c r="DR33" s="21">
        <f t="shared" si="2031"/>
        <v>0</v>
      </c>
      <c r="DS33" s="19">
        <v>2000.0</v>
      </c>
      <c r="DT33" s="20">
        <f t="shared" ref="DT33:DV33" si="2032">DS33</f>
        <v>2000</v>
      </c>
      <c r="DU33" s="20">
        <f t="shared" si="2032"/>
        <v>2000</v>
      </c>
      <c r="DV33" s="21">
        <f t="shared" si="2032"/>
        <v>2000</v>
      </c>
      <c r="DW33" s="19">
        <v>500.0</v>
      </c>
      <c r="DX33" s="20">
        <f t="shared" ref="DX33:DX36" si="2080">DW33</f>
        <v>500</v>
      </c>
      <c r="DY33" s="20">
        <v>500.0</v>
      </c>
      <c r="DZ33" s="21">
        <f>DY33</f>
        <v>500</v>
      </c>
      <c r="EA33" s="19">
        <v>0.0</v>
      </c>
      <c r="EB33" s="20">
        <f>EA33</f>
        <v>0</v>
      </c>
      <c r="EC33" s="20">
        <v>0.0</v>
      </c>
      <c r="ED33" s="21">
        <f>EC33</f>
        <v>0</v>
      </c>
      <c r="EE33" s="19">
        <v>0.0</v>
      </c>
      <c r="EF33" s="20">
        <f t="shared" ref="EF33:EF36" si="2083">EE33</f>
        <v>0</v>
      </c>
      <c r="EG33" s="20">
        <v>0.0</v>
      </c>
      <c r="EH33" s="21">
        <f>EG33</f>
        <v>0</v>
      </c>
      <c r="EI33" s="19">
        <v>0.0</v>
      </c>
      <c r="EJ33" s="21">
        <f t="shared" ref="EJ33:EK33" si="2033">EI33</f>
        <v>0</v>
      </c>
      <c r="EK33" s="21">
        <f t="shared" si="2033"/>
        <v>0</v>
      </c>
      <c r="EL33" s="21">
        <f t="shared" si="797"/>
        <v>0</v>
      </c>
      <c r="EM33" s="19">
        <v>4000.0</v>
      </c>
      <c r="EN33" s="20">
        <f t="shared" ref="EN33:EN36" si="2086">EM33</f>
        <v>4000</v>
      </c>
      <c r="EO33" s="20">
        <v>810.0</v>
      </c>
      <c r="EP33" s="21">
        <f>EO33</f>
        <v>810</v>
      </c>
      <c r="EQ33" s="19">
        <v>1000.0</v>
      </c>
      <c r="ER33" s="20">
        <f t="shared" ref="ER33:ET33" si="2034">EQ33</f>
        <v>1000</v>
      </c>
      <c r="ES33" s="20">
        <f t="shared" si="2034"/>
        <v>1000</v>
      </c>
      <c r="ET33" s="21">
        <f t="shared" si="2034"/>
        <v>1000</v>
      </c>
      <c r="EU33" s="19">
        <v>0.0</v>
      </c>
      <c r="EV33" s="20">
        <f>EU33</f>
        <v>0</v>
      </c>
      <c r="EW33" s="20">
        <v>0.0</v>
      </c>
      <c r="EX33" s="21">
        <f t="shared" si="1907"/>
        <v>0</v>
      </c>
      <c r="EY33" s="19">
        <v>0.0</v>
      </c>
      <c r="EZ33" s="20">
        <f t="shared" ref="EZ33:EZ35" si="2089">EY33</f>
        <v>0</v>
      </c>
      <c r="FA33" s="20">
        <v>0.0</v>
      </c>
      <c r="FB33" s="21">
        <f>FA33</f>
        <v>0</v>
      </c>
      <c r="FC33" s="19">
        <v>0.0</v>
      </c>
      <c r="FD33" s="20">
        <f t="shared" ref="FD33:FF33" si="2035">FC33</f>
        <v>0</v>
      </c>
      <c r="FE33" s="20">
        <f t="shared" si="2035"/>
        <v>0</v>
      </c>
      <c r="FF33" s="21">
        <f t="shared" si="2035"/>
        <v>0</v>
      </c>
      <c r="FG33" s="19">
        <v>0.0</v>
      </c>
      <c r="FH33" s="20">
        <f t="shared" ref="FH33:FH41" si="2092">FG33</f>
        <v>0</v>
      </c>
      <c r="FI33" s="20">
        <v>1980.0</v>
      </c>
      <c r="FJ33" s="21">
        <f>FI33</f>
        <v>1980</v>
      </c>
      <c r="FK33" s="19">
        <v>0.0</v>
      </c>
      <c r="FL33" s="20">
        <f t="shared" ref="FL33:FL41" si="2094">FK33</f>
        <v>0</v>
      </c>
      <c r="FM33" s="20">
        <v>0.0</v>
      </c>
      <c r="FN33" s="21">
        <f>FM33</f>
        <v>0</v>
      </c>
      <c r="FO33" s="19">
        <v>450.0</v>
      </c>
      <c r="FP33" s="20">
        <v>0.0</v>
      </c>
      <c r="FQ33" s="20">
        <v>450.0</v>
      </c>
      <c r="FR33" s="21">
        <f>FQ33</f>
        <v>450</v>
      </c>
      <c r="FS33" s="19">
        <v>0.0</v>
      </c>
      <c r="FT33" s="20">
        <f t="shared" ref="FT33:FT34" si="2097">FS33</f>
        <v>0</v>
      </c>
      <c r="FU33" s="20">
        <v>0.0</v>
      </c>
      <c r="FV33" s="21">
        <f>FU33</f>
        <v>0</v>
      </c>
      <c r="FW33" s="19">
        <v>1000.0</v>
      </c>
      <c r="FX33" s="20">
        <f t="shared" si="1284"/>
        <v>1000</v>
      </c>
      <c r="FY33" s="20">
        <v>810.0</v>
      </c>
      <c r="FZ33" s="21">
        <f>FY33</f>
        <v>810</v>
      </c>
      <c r="GA33" s="19">
        <v>0.0</v>
      </c>
      <c r="GB33" s="20">
        <f t="shared" si="1286"/>
        <v>0</v>
      </c>
      <c r="GC33" s="20">
        <v>0.0</v>
      </c>
      <c r="GD33" s="21">
        <f>GC33</f>
        <v>0</v>
      </c>
      <c r="GE33" s="19">
        <v>0.0</v>
      </c>
      <c r="GF33" s="20">
        <f t="shared" ref="GF33:GF36" si="2101">GE33</f>
        <v>0</v>
      </c>
      <c r="GG33" s="20">
        <v>0.0</v>
      </c>
      <c r="GH33" s="21">
        <f>GG33</f>
        <v>0</v>
      </c>
      <c r="GI33" s="19">
        <v>0.0</v>
      </c>
      <c r="GJ33" s="20">
        <f t="shared" ref="GJ33:GJ41" si="2103">GI33</f>
        <v>0</v>
      </c>
      <c r="GK33" s="20">
        <v>0.0</v>
      </c>
      <c r="GL33" s="20">
        <f>GK33</f>
        <v>0</v>
      </c>
      <c r="GM33" s="22">
        <v>0.0</v>
      </c>
      <c r="GN33" s="20">
        <f t="shared" ref="GN33:GP33" si="2036">GM33</f>
        <v>0</v>
      </c>
      <c r="GO33" s="20">
        <f t="shared" si="2036"/>
        <v>0</v>
      </c>
      <c r="GP33" s="21">
        <f t="shared" si="2036"/>
        <v>0</v>
      </c>
      <c r="GQ33" s="19">
        <v>0.0</v>
      </c>
      <c r="GR33" s="20">
        <f t="shared" ref="GR33:GR41" si="2106">GQ33</f>
        <v>0</v>
      </c>
      <c r="GS33" s="20">
        <v>0.0</v>
      </c>
      <c r="GT33" s="21">
        <f>GS33</f>
        <v>0</v>
      </c>
      <c r="GU33" s="19">
        <v>2600.0</v>
      </c>
      <c r="GV33" s="20">
        <v>0.0</v>
      </c>
      <c r="GW33" s="20">
        <v>1530.0</v>
      </c>
      <c r="GX33" s="21">
        <v>0.0</v>
      </c>
      <c r="GY33" s="19">
        <v>1500.0</v>
      </c>
      <c r="GZ33" s="20">
        <f t="shared" ref="GZ33:GZ36" si="2108">GY33</f>
        <v>1500</v>
      </c>
      <c r="HA33" s="20">
        <v>1260.0</v>
      </c>
      <c r="HB33" s="21">
        <f>HA33</f>
        <v>1260</v>
      </c>
      <c r="HC33" s="19">
        <v>5000.0</v>
      </c>
      <c r="HD33" s="20">
        <f t="shared" si="1430"/>
        <v>5000</v>
      </c>
      <c r="HE33" s="20">
        <v>1170.0</v>
      </c>
      <c r="HF33" s="21">
        <f>HE33</f>
        <v>1170</v>
      </c>
      <c r="HG33" s="19">
        <v>0.0</v>
      </c>
      <c r="HH33" s="20">
        <f t="shared" ref="HH33:HH38" si="2111">HG33</f>
        <v>0</v>
      </c>
      <c r="HI33" s="20">
        <v>0.0</v>
      </c>
      <c r="HJ33" s="21">
        <f>HI33</f>
        <v>0</v>
      </c>
      <c r="HK33" s="19">
        <v>300.0</v>
      </c>
      <c r="HL33" s="20">
        <f t="shared" ref="HL33:HL41" si="2113">HK33</f>
        <v>300</v>
      </c>
      <c r="HM33" s="20">
        <v>300.0</v>
      </c>
      <c r="HN33" s="21">
        <f>HM33</f>
        <v>300</v>
      </c>
      <c r="HO33" s="19">
        <v>5250.0</v>
      </c>
      <c r="HP33" s="20">
        <f t="shared" ref="HP33:HP36" si="2115">HO33</f>
        <v>5250</v>
      </c>
      <c r="HQ33" s="20">
        <v>1170.0</v>
      </c>
      <c r="HR33" s="21">
        <f>HQ33</f>
        <v>1170</v>
      </c>
      <c r="HS33" s="19">
        <v>12000.0</v>
      </c>
      <c r="HT33" s="20">
        <f t="shared" ref="HT33:HV33" si="2037">HS33</f>
        <v>12000</v>
      </c>
      <c r="HU33" s="20">
        <f t="shared" si="2037"/>
        <v>12000</v>
      </c>
      <c r="HV33" s="21">
        <f t="shared" si="2037"/>
        <v>12000</v>
      </c>
      <c r="HW33" s="19">
        <v>0.0</v>
      </c>
      <c r="HX33" s="20">
        <f t="shared" ref="HX33:HX41" si="2118">HW33</f>
        <v>0</v>
      </c>
      <c r="HY33" s="20">
        <v>0.0</v>
      </c>
      <c r="HZ33" s="21">
        <f>HY33</f>
        <v>0</v>
      </c>
      <c r="IA33" s="19">
        <v>600.0</v>
      </c>
      <c r="IB33" s="20">
        <f t="shared" si="1789"/>
        <v>600</v>
      </c>
      <c r="IC33" s="20">
        <v>600.0</v>
      </c>
      <c r="ID33" s="21">
        <f>IC33</f>
        <v>600</v>
      </c>
      <c r="IE33" s="19">
        <v>0.0</v>
      </c>
      <c r="IF33" s="20">
        <f t="shared" si="1929"/>
        <v>0</v>
      </c>
      <c r="IG33" s="20">
        <v>0.0</v>
      </c>
      <c r="IH33" s="21">
        <f>IG33</f>
        <v>0</v>
      </c>
      <c r="II33" s="19">
        <v>3000.0</v>
      </c>
      <c r="IJ33" s="20">
        <f t="shared" ref="IJ33:IJ41" si="2119">II33</f>
        <v>3000</v>
      </c>
      <c r="IK33" s="20">
        <v>1260.0</v>
      </c>
      <c r="IL33" s="21">
        <f>IK33</f>
        <v>1260</v>
      </c>
      <c r="IM33" s="19">
        <v>3300.0</v>
      </c>
      <c r="IN33" s="20">
        <f t="shared" ref="IN33:IN41" si="2121">IM33</f>
        <v>3300</v>
      </c>
      <c r="IO33" s="20">
        <v>1980.0</v>
      </c>
      <c r="IP33" s="21">
        <f>IO33</f>
        <v>1980</v>
      </c>
      <c r="IQ33" s="19">
        <v>1500.0</v>
      </c>
      <c r="IR33" s="20">
        <f t="shared" ref="IR33:IR41" si="2123">IQ33</f>
        <v>1500</v>
      </c>
      <c r="IS33" s="20">
        <v>1080.0</v>
      </c>
      <c r="IT33" s="21">
        <f>IS33</f>
        <v>1080</v>
      </c>
      <c r="IU33" s="19">
        <v>0.0</v>
      </c>
      <c r="IV33" s="20">
        <f t="shared" si="1305"/>
        <v>0</v>
      </c>
      <c r="IW33" s="20">
        <v>0.0</v>
      </c>
      <c r="IX33" s="21">
        <f>IW33</f>
        <v>0</v>
      </c>
      <c r="IY33" s="19">
        <v>0.0</v>
      </c>
      <c r="IZ33" s="20">
        <f t="shared" ref="IZ33:IZ41" si="2126">IY33</f>
        <v>0</v>
      </c>
      <c r="JA33" s="20">
        <v>0.0</v>
      </c>
      <c r="JB33" s="21">
        <f>JA33</f>
        <v>0</v>
      </c>
      <c r="JC33" s="19">
        <v>5250.0</v>
      </c>
      <c r="JD33" s="20">
        <f t="shared" ref="JD33:JD41" si="2128">JC33</f>
        <v>5250</v>
      </c>
      <c r="JE33" s="20">
        <v>2340.0</v>
      </c>
      <c r="JF33" s="20">
        <f>JE33</f>
        <v>2340</v>
      </c>
      <c r="JG33" s="19">
        <v>0.0</v>
      </c>
      <c r="JH33" s="20">
        <f t="shared" ref="JH33:JH41" si="2130">JG33</f>
        <v>0</v>
      </c>
      <c r="JI33" s="20">
        <v>0.0</v>
      </c>
      <c r="JJ33" s="21">
        <f>JI33</f>
        <v>0</v>
      </c>
      <c r="JK33" s="19">
        <v>0.0</v>
      </c>
      <c r="JL33" s="20">
        <f t="shared" ref="JL33:JN33" si="2038">JK33</f>
        <v>0</v>
      </c>
      <c r="JM33" s="20">
        <f t="shared" si="2038"/>
        <v>0</v>
      </c>
      <c r="JN33" s="21">
        <f t="shared" si="2038"/>
        <v>0</v>
      </c>
      <c r="JO33" s="19">
        <v>0.0</v>
      </c>
      <c r="JP33" s="20">
        <f>JO33</f>
        <v>0</v>
      </c>
      <c r="JQ33" s="20">
        <v>0.0</v>
      </c>
      <c r="JR33" s="21">
        <f t="shared" ref="JR33:JR34" si="2133">JQ33</f>
        <v>0</v>
      </c>
      <c r="JS33" s="19">
        <v>0.0</v>
      </c>
      <c r="JT33" s="20">
        <f t="shared" ref="JT33:JV33" si="2039">JS33</f>
        <v>0</v>
      </c>
      <c r="JU33" s="20">
        <f t="shared" si="2039"/>
        <v>0</v>
      </c>
      <c r="JV33" s="21">
        <f t="shared" si="2039"/>
        <v>0</v>
      </c>
      <c r="JW33" s="19">
        <v>0.0</v>
      </c>
      <c r="JX33" s="20">
        <f t="shared" ref="JX33:JZ33" si="2040">JW33</f>
        <v>0</v>
      </c>
      <c r="JY33" s="20">
        <f t="shared" si="2040"/>
        <v>0</v>
      </c>
      <c r="JZ33" s="21">
        <f t="shared" si="2040"/>
        <v>0</v>
      </c>
    </row>
    <row r="34" ht="15.75" customHeight="1">
      <c r="A34" s="24" t="s">
        <v>112</v>
      </c>
      <c r="B34" s="18"/>
      <c r="C34" s="19">
        <v>0.0</v>
      </c>
      <c r="D34" s="20">
        <f t="shared" ref="D34:F34" si="2041">C34</f>
        <v>0</v>
      </c>
      <c r="E34" s="20">
        <f t="shared" si="2041"/>
        <v>0</v>
      </c>
      <c r="F34" s="21">
        <f t="shared" si="2041"/>
        <v>0</v>
      </c>
      <c r="G34" s="19">
        <v>0.0</v>
      </c>
      <c r="H34" s="20">
        <f t="shared" ref="H34:J34" si="2042">G34</f>
        <v>0</v>
      </c>
      <c r="I34" s="20">
        <f t="shared" si="2042"/>
        <v>0</v>
      </c>
      <c r="J34" s="21">
        <f t="shared" si="2042"/>
        <v>0</v>
      </c>
      <c r="K34" s="19">
        <v>0.0</v>
      </c>
      <c r="L34" s="20">
        <f t="shared" ref="L34:N34" si="2043">K34</f>
        <v>0</v>
      </c>
      <c r="M34" s="20">
        <f t="shared" si="2043"/>
        <v>0</v>
      </c>
      <c r="N34" s="21">
        <f t="shared" si="2043"/>
        <v>0</v>
      </c>
      <c r="O34" s="19">
        <v>0.0</v>
      </c>
      <c r="P34" s="20">
        <f t="shared" ref="P34:R34" si="2044">O34</f>
        <v>0</v>
      </c>
      <c r="Q34" s="20">
        <f t="shared" si="2044"/>
        <v>0</v>
      </c>
      <c r="R34" s="21">
        <f t="shared" si="2044"/>
        <v>0</v>
      </c>
      <c r="S34" s="19">
        <v>0.0</v>
      </c>
      <c r="T34" s="20">
        <f t="shared" ref="T34:V34" si="2045">S34</f>
        <v>0</v>
      </c>
      <c r="U34" s="20">
        <f t="shared" si="2045"/>
        <v>0</v>
      </c>
      <c r="V34" s="21">
        <f t="shared" si="2045"/>
        <v>0</v>
      </c>
      <c r="W34" s="36">
        <v>3000.0</v>
      </c>
      <c r="X34" s="20">
        <f t="shared" si="2046"/>
        <v>3000</v>
      </c>
      <c r="Y34" s="20">
        <f t="shared" ref="Y34:Z34" si="2047">X34</f>
        <v>3000</v>
      </c>
      <c r="Z34" s="21">
        <f t="shared" si="2047"/>
        <v>3000</v>
      </c>
      <c r="AA34" s="19">
        <v>0.0</v>
      </c>
      <c r="AB34" s="20">
        <f t="shared" ref="AB34:AD34" si="2048">AA34</f>
        <v>0</v>
      </c>
      <c r="AC34" s="20">
        <f t="shared" si="2048"/>
        <v>0</v>
      </c>
      <c r="AD34" s="21">
        <f t="shared" si="2048"/>
        <v>0</v>
      </c>
      <c r="AE34" s="19">
        <v>0.0</v>
      </c>
      <c r="AF34" s="20">
        <f t="shared" ref="AF34:AH34" si="2049">AE34</f>
        <v>0</v>
      </c>
      <c r="AG34" s="20">
        <f t="shared" si="2049"/>
        <v>0</v>
      </c>
      <c r="AH34" s="21">
        <f t="shared" si="2049"/>
        <v>0</v>
      </c>
      <c r="AI34" s="19">
        <v>8100.0</v>
      </c>
      <c r="AJ34" s="20">
        <v>0.0</v>
      </c>
      <c r="AK34" s="20">
        <v>8100.0</v>
      </c>
      <c r="AL34" s="21">
        <f>AK34</f>
        <v>8100</v>
      </c>
      <c r="AM34" s="19">
        <v>0.0</v>
      </c>
      <c r="AN34" s="20">
        <f t="shared" ref="AN34:AP34" si="2050">AM34</f>
        <v>0</v>
      </c>
      <c r="AO34" s="20">
        <f t="shared" si="2050"/>
        <v>0</v>
      </c>
      <c r="AP34" s="21">
        <f t="shared" si="2050"/>
        <v>0</v>
      </c>
      <c r="AQ34" s="19">
        <v>0.0</v>
      </c>
      <c r="AR34" s="20">
        <f t="shared" ref="AR34:AT34" si="2051">AQ34</f>
        <v>0</v>
      </c>
      <c r="AS34" s="20">
        <f t="shared" si="2051"/>
        <v>0</v>
      </c>
      <c r="AT34" s="21">
        <f t="shared" si="2051"/>
        <v>0</v>
      </c>
      <c r="AU34" s="19">
        <v>0.0</v>
      </c>
      <c r="AV34" s="20">
        <f t="shared" ref="AV34:AX34" si="2052">AU34</f>
        <v>0</v>
      </c>
      <c r="AW34" s="20">
        <f t="shared" si="2052"/>
        <v>0</v>
      </c>
      <c r="AX34" s="21">
        <f t="shared" si="2052"/>
        <v>0</v>
      </c>
      <c r="AY34" s="19">
        <v>13500.0</v>
      </c>
      <c r="AZ34" s="20">
        <f t="shared" si="2053"/>
        <v>13500</v>
      </c>
      <c r="BA34" s="20">
        <f t="shared" ref="BA34:BB34" si="2054">AZ34</f>
        <v>13500</v>
      </c>
      <c r="BB34" s="21">
        <f t="shared" si="2054"/>
        <v>13500</v>
      </c>
      <c r="BC34" s="19">
        <v>9600.0</v>
      </c>
      <c r="BD34" s="20">
        <f t="shared" ref="BD34:BF34" si="2055">BC34</f>
        <v>9600</v>
      </c>
      <c r="BE34" s="20">
        <f t="shared" si="2055"/>
        <v>9600</v>
      </c>
      <c r="BF34" s="21">
        <f t="shared" si="2055"/>
        <v>9600</v>
      </c>
      <c r="BG34" s="19">
        <v>0.0</v>
      </c>
      <c r="BH34" s="20">
        <f t="shared" ref="BH34:BJ34" si="2056">BG34</f>
        <v>0</v>
      </c>
      <c r="BI34" s="20">
        <f t="shared" si="2056"/>
        <v>0</v>
      </c>
      <c r="BJ34" s="21">
        <f t="shared" si="2056"/>
        <v>0</v>
      </c>
      <c r="BK34" s="19">
        <v>0.0</v>
      </c>
      <c r="BL34" s="20">
        <f t="shared" ref="BL34:BN34" si="2057">BK34</f>
        <v>0</v>
      </c>
      <c r="BM34" s="20">
        <f t="shared" si="2057"/>
        <v>0</v>
      </c>
      <c r="BN34" s="21">
        <f t="shared" si="2057"/>
        <v>0</v>
      </c>
      <c r="BO34" s="19">
        <v>7200.0</v>
      </c>
      <c r="BP34" s="20">
        <f t="shared" si="2058"/>
        <v>7200</v>
      </c>
      <c r="BQ34" s="20">
        <f t="shared" ref="BQ34:BR34" si="2059">BP34</f>
        <v>7200</v>
      </c>
      <c r="BR34" s="21">
        <f t="shared" si="2059"/>
        <v>7200</v>
      </c>
      <c r="BS34" s="19">
        <v>0.0</v>
      </c>
      <c r="BT34" s="20">
        <f t="shared" ref="BT34:BV34" si="2060">BS34</f>
        <v>0</v>
      </c>
      <c r="BU34" s="20">
        <f t="shared" si="2060"/>
        <v>0</v>
      </c>
      <c r="BV34" s="21">
        <f t="shared" si="2060"/>
        <v>0</v>
      </c>
      <c r="BW34" s="19">
        <v>0.0</v>
      </c>
      <c r="BX34" s="20">
        <f t="shared" ref="BX34:BZ34" si="2061">BW34</f>
        <v>0</v>
      </c>
      <c r="BY34" s="20">
        <f t="shared" si="2061"/>
        <v>0</v>
      </c>
      <c r="BZ34" s="21">
        <f t="shared" si="2061"/>
        <v>0</v>
      </c>
      <c r="CA34" s="19">
        <v>20700.0</v>
      </c>
      <c r="CB34" s="20">
        <f t="shared" si="2062"/>
        <v>20700</v>
      </c>
      <c r="CC34" s="20">
        <f t="shared" ref="CC34:CD34" si="2063">CB34</f>
        <v>20700</v>
      </c>
      <c r="CD34" s="21">
        <f t="shared" si="2063"/>
        <v>20700</v>
      </c>
      <c r="CE34" s="19">
        <v>17400.0</v>
      </c>
      <c r="CF34" s="20">
        <f t="shared" ref="CF34:CH34" si="2064">CE34</f>
        <v>17400</v>
      </c>
      <c r="CG34" s="20">
        <f t="shared" si="2064"/>
        <v>17400</v>
      </c>
      <c r="CH34" s="21">
        <f t="shared" si="2064"/>
        <v>17400</v>
      </c>
      <c r="CI34" s="19">
        <v>0.0</v>
      </c>
      <c r="CJ34" s="20">
        <f t="shared" ref="CJ34:CL34" si="2065">CI34</f>
        <v>0</v>
      </c>
      <c r="CK34" s="20">
        <f t="shared" si="2065"/>
        <v>0</v>
      </c>
      <c r="CL34" s="21">
        <f t="shared" si="2065"/>
        <v>0</v>
      </c>
      <c r="CM34" s="19">
        <v>21300.0</v>
      </c>
      <c r="CN34" s="20">
        <f t="shared" si="2066"/>
        <v>21300</v>
      </c>
      <c r="CO34" s="20">
        <f t="shared" ref="CO34:CP34" si="2067">CN34</f>
        <v>21300</v>
      </c>
      <c r="CP34" s="21">
        <f t="shared" si="2067"/>
        <v>21300</v>
      </c>
      <c r="CQ34" s="19">
        <v>0.0</v>
      </c>
      <c r="CR34" s="20">
        <f t="shared" ref="CR34:CT34" si="2068">CQ34</f>
        <v>0</v>
      </c>
      <c r="CS34" s="20">
        <f t="shared" si="2068"/>
        <v>0</v>
      </c>
      <c r="CT34" s="21">
        <f t="shared" si="2068"/>
        <v>0</v>
      </c>
      <c r="CU34" s="19">
        <v>17550.0</v>
      </c>
      <c r="CV34" s="20">
        <f t="shared" si="2069"/>
        <v>17550</v>
      </c>
      <c r="CW34" s="20">
        <f t="shared" ref="CW34:CX34" si="2070">CV34</f>
        <v>17550</v>
      </c>
      <c r="CX34" s="21">
        <f t="shared" si="2070"/>
        <v>17550</v>
      </c>
      <c r="CY34" s="19">
        <v>11700.0</v>
      </c>
      <c r="CZ34" s="20">
        <v>9000.0</v>
      </c>
      <c r="DA34" s="20">
        <f t="shared" ref="DA34:DB34" si="2071">CZ34</f>
        <v>9000</v>
      </c>
      <c r="DB34" s="21">
        <f t="shared" si="2071"/>
        <v>9000</v>
      </c>
      <c r="DC34" s="19">
        <v>15000.0</v>
      </c>
      <c r="DD34" s="20">
        <f t="shared" si="2072"/>
        <v>15000</v>
      </c>
      <c r="DE34" s="20">
        <f t="shared" ref="DE34:DF34" si="2073">DD34</f>
        <v>15000</v>
      </c>
      <c r="DF34" s="21">
        <f t="shared" si="2073"/>
        <v>15000</v>
      </c>
      <c r="DG34" s="19">
        <v>4200.0</v>
      </c>
      <c r="DH34" s="20">
        <f t="shared" si="2074"/>
        <v>4200</v>
      </c>
      <c r="DI34" s="20">
        <f t="shared" ref="DI34:DJ34" si="2075">DH34</f>
        <v>4200</v>
      </c>
      <c r="DJ34" s="21">
        <f t="shared" si="2075"/>
        <v>4200</v>
      </c>
      <c r="DK34" s="19">
        <v>1350.0</v>
      </c>
      <c r="DL34" s="20">
        <f t="shared" si="2076"/>
        <v>1350</v>
      </c>
      <c r="DM34" s="20">
        <f t="shared" ref="DM34:DN34" si="2077">DL34</f>
        <v>1350</v>
      </c>
      <c r="DN34" s="21">
        <f t="shared" si="2077"/>
        <v>1350</v>
      </c>
      <c r="DO34" s="19">
        <v>0.0</v>
      </c>
      <c r="DP34" s="20">
        <f t="shared" ref="DP34:DR34" si="2078">DO34</f>
        <v>0</v>
      </c>
      <c r="DQ34" s="20">
        <f t="shared" si="2078"/>
        <v>0</v>
      </c>
      <c r="DR34" s="21">
        <f t="shared" si="2078"/>
        <v>0</v>
      </c>
      <c r="DS34" s="19">
        <v>0.0</v>
      </c>
      <c r="DT34" s="20">
        <f t="shared" ref="DT34:DV34" si="2079">DS34</f>
        <v>0</v>
      </c>
      <c r="DU34" s="20">
        <f t="shared" si="2079"/>
        <v>0</v>
      </c>
      <c r="DV34" s="21">
        <f t="shared" si="2079"/>
        <v>0</v>
      </c>
      <c r="DW34" s="19">
        <v>13200.0</v>
      </c>
      <c r="DX34" s="20">
        <f t="shared" si="2080"/>
        <v>13200</v>
      </c>
      <c r="DY34" s="20">
        <f t="shared" ref="DY34:DZ34" si="2081">DX34</f>
        <v>13200</v>
      </c>
      <c r="DZ34" s="21">
        <f t="shared" si="2081"/>
        <v>13200</v>
      </c>
      <c r="EA34" s="19">
        <v>7200.0</v>
      </c>
      <c r="EB34" s="20">
        <v>7200.0</v>
      </c>
      <c r="EC34" s="20">
        <f t="shared" ref="EC34:ED34" si="2082">EB34</f>
        <v>7200</v>
      </c>
      <c r="ED34" s="21">
        <f t="shared" si="2082"/>
        <v>7200</v>
      </c>
      <c r="EE34" s="19">
        <v>18900.0</v>
      </c>
      <c r="EF34" s="20">
        <f t="shared" si="2083"/>
        <v>18900</v>
      </c>
      <c r="EG34" s="20">
        <f t="shared" ref="EG34:EH34" si="2084">EF34</f>
        <v>18900</v>
      </c>
      <c r="EH34" s="21">
        <f t="shared" si="2084"/>
        <v>18900</v>
      </c>
      <c r="EI34" s="19">
        <v>0.0</v>
      </c>
      <c r="EJ34" s="21">
        <f t="shared" ref="EJ34:EK34" si="2085">EI34</f>
        <v>0</v>
      </c>
      <c r="EK34" s="21">
        <f t="shared" si="2085"/>
        <v>0</v>
      </c>
      <c r="EL34" s="21">
        <f t="shared" si="797"/>
        <v>0</v>
      </c>
      <c r="EM34" s="19">
        <v>8700.0</v>
      </c>
      <c r="EN34" s="20">
        <f t="shared" si="2086"/>
        <v>8700</v>
      </c>
      <c r="EO34" s="20">
        <f t="shared" ref="EO34:EP34" si="2087">EN34</f>
        <v>8700</v>
      </c>
      <c r="EP34" s="21">
        <f t="shared" si="2087"/>
        <v>8700</v>
      </c>
      <c r="EQ34" s="19">
        <v>0.0</v>
      </c>
      <c r="ER34" s="20">
        <f t="shared" ref="ER34:ET34" si="2088">EQ34</f>
        <v>0</v>
      </c>
      <c r="ES34" s="20">
        <f t="shared" si="2088"/>
        <v>0</v>
      </c>
      <c r="ET34" s="21">
        <f t="shared" si="2088"/>
        <v>0</v>
      </c>
      <c r="EU34" s="19">
        <v>15300.0</v>
      </c>
      <c r="EV34" s="20">
        <v>0.0</v>
      </c>
      <c r="EW34" s="20">
        <v>15300.0</v>
      </c>
      <c r="EX34" s="21">
        <f t="shared" si="1907"/>
        <v>15300</v>
      </c>
      <c r="EY34" s="19">
        <v>15600.0</v>
      </c>
      <c r="EZ34" s="20">
        <f t="shared" si="2089"/>
        <v>15600</v>
      </c>
      <c r="FA34" s="20">
        <f t="shared" ref="FA34:FB34" si="2090">EZ34</f>
        <v>15600</v>
      </c>
      <c r="FB34" s="21">
        <f t="shared" si="2090"/>
        <v>15600</v>
      </c>
      <c r="FC34" s="19">
        <v>0.0</v>
      </c>
      <c r="FD34" s="20">
        <f t="shared" ref="FD34:FF34" si="2091">FC34</f>
        <v>0</v>
      </c>
      <c r="FE34" s="20">
        <f t="shared" si="2091"/>
        <v>0</v>
      </c>
      <c r="FF34" s="21">
        <f t="shared" si="2091"/>
        <v>0</v>
      </c>
      <c r="FG34" s="19">
        <v>25300.0</v>
      </c>
      <c r="FH34" s="20">
        <f t="shared" si="2092"/>
        <v>25300</v>
      </c>
      <c r="FI34" s="20">
        <f t="shared" ref="FI34:FJ34" si="2093">FH34</f>
        <v>25300</v>
      </c>
      <c r="FJ34" s="21">
        <f t="shared" si="2093"/>
        <v>25300</v>
      </c>
      <c r="FK34" s="19">
        <v>13200.0</v>
      </c>
      <c r="FL34" s="20">
        <f t="shared" si="2094"/>
        <v>13200</v>
      </c>
      <c r="FM34" s="20">
        <f t="shared" ref="FM34:FN34" si="2095">FL34</f>
        <v>13200</v>
      </c>
      <c r="FN34" s="21">
        <f t="shared" si="2095"/>
        <v>13200</v>
      </c>
      <c r="FO34" s="19">
        <v>10800.0</v>
      </c>
      <c r="FP34" s="20">
        <f t="shared" ref="FP34:FR34" si="2096">FO34</f>
        <v>10800</v>
      </c>
      <c r="FQ34" s="20">
        <f t="shared" si="2096"/>
        <v>10800</v>
      </c>
      <c r="FR34" s="21">
        <f t="shared" si="2096"/>
        <v>10800</v>
      </c>
      <c r="FS34" s="19">
        <v>20400.0</v>
      </c>
      <c r="FT34" s="20">
        <f t="shared" si="2097"/>
        <v>20400</v>
      </c>
      <c r="FU34" s="20">
        <f t="shared" ref="FU34:FV34" si="2098">FT34</f>
        <v>20400</v>
      </c>
      <c r="FV34" s="21">
        <f t="shared" si="2098"/>
        <v>20400</v>
      </c>
      <c r="FW34" s="19">
        <v>10000.0</v>
      </c>
      <c r="FX34" s="20">
        <f t="shared" si="1284"/>
        <v>10000</v>
      </c>
      <c r="FY34" s="20">
        <f t="shared" ref="FY34:FZ34" si="2099">FX34</f>
        <v>10000</v>
      </c>
      <c r="FZ34" s="21">
        <f t="shared" si="2099"/>
        <v>10000</v>
      </c>
      <c r="GA34" s="19">
        <v>8000.0</v>
      </c>
      <c r="GB34" s="20">
        <f t="shared" si="1286"/>
        <v>8000</v>
      </c>
      <c r="GC34" s="20">
        <f t="shared" ref="GC34:GD34" si="2100">GB34</f>
        <v>8000</v>
      </c>
      <c r="GD34" s="21">
        <f t="shared" si="2100"/>
        <v>8000</v>
      </c>
      <c r="GE34" s="19">
        <v>10750.0</v>
      </c>
      <c r="GF34" s="20">
        <f t="shared" si="2101"/>
        <v>10750</v>
      </c>
      <c r="GG34" s="20">
        <f t="shared" ref="GG34:GH34" si="2102">GF34</f>
        <v>10750</v>
      </c>
      <c r="GH34" s="21">
        <f t="shared" si="2102"/>
        <v>10750</v>
      </c>
      <c r="GI34" s="19">
        <v>40500.0</v>
      </c>
      <c r="GJ34" s="20">
        <f t="shared" si="2103"/>
        <v>40500</v>
      </c>
      <c r="GK34" s="20">
        <f t="shared" ref="GK34:GL34" si="2104">GJ34</f>
        <v>40500</v>
      </c>
      <c r="GL34" s="20">
        <f t="shared" si="2104"/>
        <v>40500</v>
      </c>
      <c r="GM34" s="22">
        <v>0.0</v>
      </c>
      <c r="GN34" s="20">
        <f t="shared" ref="GN34:GP34" si="2105">GM34</f>
        <v>0</v>
      </c>
      <c r="GO34" s="20">
        <f t="shared" si="2105"/>
        <v>0</v>
      </c>
      <c r="GP34" s="21">
        <f t="shared" si="2105"/>
        <v>0</v>
      </c>
      <c r="GQ34" s="19">
        <v>8100.0</v>
      </c>
      <c r="GR34" s="20">
        <f t="shared" si="2106"/>
        <v>8100</v>
      </c>
      <c r="GS34" s="20">
        <f t="shared" ref="GS34:GT34" si="2107">GR34</f>
        <v>8100</v>
      </c>
      <c r="GT34" s="21">
        <f t="shared" si="2107"/>
        <v>8100</v>
      </c>
      <c r="GU34" s="19">
        <v>10800.0</v>
      </c>
      <c r="GV34" s="20">
        <v>0.0</v>
      </c>
      <c r="GW34" s="20">
        <v>10800.0</v>
      </c>
      <c r="GX34" s="21">
        <v>0.0</v>
      </c>
      <c r="GY34" s="19">
        <v>15000.0</v>
      </c>
      <c r="GZ34" s="20">
        <f t="shared" si="2108"/>
        <v>15000</v>
      </c>
      <c r="HA34" s="20">
        <f t="shared" ref="HA34:HB34" si="2109">GZ34</f>
        <v>15000</v>
      </c>
      <c r="HB34" s="21">
        <f t="shared" si="2109"/>
        <v>15000</v>
      </c>
      <c r="HC34" s="19">
        <v>12000.0</v>
      </c>
      <c r="HD34" s="20">
        <f t="shared" si="1430"/>
        <v>12000</v>
      </c>
      <c r="HE34" s="20">
        <f t="shared" ref="HE34:HF34" si="2110">HD34</f>
        <v>12000</v>
      </c>
      <c r="HF34" s="21">
        <f t="shared" si="2110"/>
        <v>12000</v>
      </c>
      <c r="HG34" s="19">
        <v>10800.0</v>
      </c>
      <c r="HH34" s="20">
        <f t="shared" si="2111"/>
        <v>10800</v>
      </c>
      <c r="HI34" s="20">
        <f t="shared" ref="HI34:HJ34" si="2112">HH34</f>
        <v>10800</v>
      </c>
      <c r="HJ34" s="21">
        <f t="shared" si="2112"/>
        <v>10800</v>
      </c>
      <c r="HK34" s="19">
        <v>8850.0</v>
      </c>
      <c r="HL34" s="20">
        <f t="shared" si="2113"/>
        <v>8850</v>
      </c>
      <c r="HM34" s="20">
        <f t="shared" ref="HM34:HN34" si="2114">HL34</f>
        <v>8850</v>
      </c>
      <c r="HN34" s="21">
        <f t="shared" si="2114"/>
        <v>8850</v>
      </c>
      <c r="HO34" s="19">
        <v>13950.0</v>
      </c>
      <c r="HP34" s="20">
        <f t="shared" si="2115"/>
        <v>13950</v>
      </c>
      <c r="HQ34" s="20">
        <f t="shared" ref="HQ34:HR34" si="2116">HP34</f>
        <v>13950</v>
      </c>
      <c r="HR34" s="21">
        <f t="shared" si="2116"/>
        <v>13950</v>
      </c>
      <c r="HS34" s="19">
        <v>50050.0</v>
      </c>
      <c r="HT34" s="20">
        <f t="shared" ref="HT34:HV34" si="2117">HS34</f>
        <v>50050</v>
      </c>
      <c r="HU34" s="20">
        <f t="shared" si="2117"/>
        <v>50050</v>
      </c>
      <c r="HV34" s="21">
        <f t="shared" si="2117"/>
        <v>50050</v>
      </c>
      <c r="HW34" s="19">
        <v>10200.0</v>
      </c>
      <c r="HX34" s="20">
        <f t="shared" si="2118"/>
        <v>10200</v>
      </c>
      <c r="HY34" s="20">
        <v>3600.0</v>
      </c>
      <c r="HZ34" s="21">
        <v>10200.0</v>
      </c>
      <c r="IA34" s="19">
        <v>4600.0</v>
      </c>
      <c r="IB34" s="20">
        <f t="shared" si="1789"/>
        <v>4600</v>
      </c>
      <c r="IC34" s="20">
        <v>3600.0</v>
      </c>
      <c r="ID34" s="21">
        <v>10600.0</v>
      </c>
      <c r="IE34" s="19">
        <v>2400.0</v>
      </c>
      <c r="IF34" s="20">
        <f t="shared" si="1929"/>
        <v>2400</v>
      </c>
      <c r="IG34" s="20">
        <v>3600.0</v>
      </c>
      <c r="IH34" s="21">
        <v>8000.0</v>
      </c>
      <c r="II34" s="19">
        <v>13800.0</v>
      </c>
      <c r="IJ34" s="20">
        <f t="shared" si="2119"/>
        <v>13800</v>
      </c>
      <c r="IK34" s="20">
        <f t="shared" ref="IK34:IL34" si="2120">IJ34</f>
        <v>13800</v>
      </c>
      <c r="IL34" s="21">
        <f t="shared" si="2120"/>
        <v>13800</v>
      </c>
      <c r="IM34" s="19">
        <v>26000.0</v>
      </c>
      <c r="IN34" s="20">
        <f t="shared" si="2121"/>
        <v>26000</v>
      </c>
      <c r="IO34" s="20">
        <f t="shared" ref="IO34:IP34" si="2122">IN34</f>
        <v>26000</v>
      </c>
      <c r="IP34" s="21">
        <f t="shared" si="2122"/>
        <v>26000</v>
      </c>
      <c r="IQ34" s="19">
        <v>9900.0</v>
      </c>
      <c r="IR34" s="20">
        <f t="shared" si="2123"/>
        <v>9900</v>
      </c>
      <c r="IS34" s="20">
        <f t="shared" ref="IS34:IT34" si="2124">IR34</f>
        <v>9900</v>
      </c>
      <c r="IT34" s="21">
        <f t="shared" si="2124"/>
        <v>9900</v>
      </c>
      <c r="IU34" s="19">
        <v>13200.0</v>
      </c>
      <c r="IV34" s="20">
        <f t="shared" si="1305"/>
        <v>13200</v>
      </c>
      <c r="IW34" s="20">
        <f t="shared" ref="IW34:IX34" si="2125">IV34</f>
        <v>13200</v>
      </c>
      <c r="IX34" s="21">
        <f t="shared" si="2125"/>
        <v>13200</v>
      </c>
      <c r="IY34" s="19">
        <v>19350.0</v>
      </c>
      <c r="IZ34" s="20">
        <f t="shared" si="2126"/>
        <v>19350</v>
      </c>
      <c r="JA34" s="20">
        <f t="shared" ref="JA34:JB34" si="2127">IZ34</f>
        <v>19350</v>
      </c>
      <c r="JB34" s="21">
        <f t="shared" si="2127"/>
        <v>19350</v>
      </c>
      <c r="JC34" s="19">
        <v>31500.0</v>
      </c>
      <c r="JD34" s="20">
        <f t="shared" si="2128"/>
        <v>31500</v>
      </c>
      <c r="JE34" s="20">
        <f t="shared" ref="JE34:JF34" si="2129">JD34</f>
        <v>31500</v>
      </c>
      <c r="JF34" s="20">
        <f t="shared" si="2129"/>
        <v>31500</v>
      </c>
      <c r="JG34" s="19">
        <v>50000.0</v>
      </c>
      <c r="JH34" s="20">
        <f t="shared" si="2130"/>
        <v>50000</v>
      </c>
      <c r="JI34" s="20">
        <f t="shared" ref="JI34:JJ34" si="2131">JH34</f>
        <v>50000</v>
      </c>
      <c r="JJ34" s="21">
        <f t="shared" si="2131"/>
        <v>50000</v>
      </c>
      <c r="JK34" s="19">
        <v>0.0</v>
      </c>
      <c r="JL34" s="20">
        <f t="shared" ref="JL34:JN34" si="2132">JK34</f>
        <v>0</v>
      </c>
      <c r="JM34" s="20">
        <f t="shared" si="2132"/>
        <v>0</v>
      </c>
      <c r="JN34" s="21">
        <f t="shared" si="2132"/>
        <v>0</v>
      </c>
      <c r="JO34" s="19">
        <v>9450.0</v>
      </c>
      <c r="JP34" s="20">
        <v>0.0</v>
      </c>
      <c r="JQ34" s="21">
        <v>9450.0</v>
      </c>
      <c r="JR34" s="21">
        <f t="shared" si="2133"/>
        <v>9450</v>
      </c>
      <c r="JS34" s="19">
        <v>0.0</v>
      </c>
      <c r="JT34" s="20">
        <f t="shared" ref="JT34:JV34" si="2134">JS34</f>
        <v>0</v>
      </c>
      <c r="JU34" s="20">
        <f t="shared" si="2134"/>
        <v>0</v>
      </c>
      <c r="JV34" s="21">
        <f t="shared" si="2134"/>
        <v>0</v>
      </c>
      <c r="JW34" s="19">
        <v>0.0</v>
      </c>
      <c r="JX34" s="20">
        <f t="shared" ref="JX34:JZ34" si="2135">JW34</f>
        <v>0</v>
      </c>
      <c r="JY34" s="20">
        <f t="shared" si="2135"/>
        <v>0</v>
      </c>
      <c r="JZ34" s="21">
        <f t="shared" si="2135"/>
        <v>0</v>
      </c>
    </row>
    <row r="35" ht="15.75" customHeight="1">
      <c r="A35" s="24" t="s">
        <v>113</v>
      </c>
      <c r="B35" s="18"/>
      <c r="C35" s="19">
        <v>370000.0</v>
      </c>
      <c r="D35" s="20">
        <v>270000.0</v>
      </c>
      <c r="E35" s="20">
        <f t="shared" ref="E35:F35" si="2136">D35</f>
        <v>270000</v>
      </c>
      <c r="F35" s="21">
        <f t="shared" si="2136"/>
        <v>270000</v>
      </c>
      <c r="G35" s="19">
        <v>0.0</v>
      </c>
      <c r="H35" s="20">
        <f t="shared" ref="H35:J35" si="2137">G35</f>
        <v>0</v>
      </c>
      <c r="I35" s="20">
        <f t="shared" si="2137"/>
        <v>0</v>
      </c>
      <c r="J35" s="21">
        <f t="shared" si="2137"/>
        <v>0</v>
      </c>
      <c r="K35" s="19">
        <v>0.0</v>
      </c>
      <c r="L35" s="20">
        <f t="shared" ref="L35:N35" si="2138">K35</f>
        <v>0</v>
      </c>
      <c r="M35" s="20">
        <f t="shared" si="2138"/>
        <v>0</v>
      </c>
      <c r="N35" s="21">
        <f t="shared" si="2138"/>
        <v>0</v>
      </c>
      <c r="O35" s="19">
        <v>0.0</v>
      </c>
      <c r="P35" s="20">
        <f t="shared" ref="P35:R35" si="2139">O35</f>
        <v>0</v>
      </c>
      <c r="Q35" s="20">
        <f t="shared" si="2139"/>
        <v>0</v>
      </c>
      <c r="R35" s="21">
        <f t="shared" si="2139"/>
        <v>0</v>
      </c>
      <c r="S35" s="19">
        <v>0.0</v>
      </c>
      <c r="T35" s="20">
        <f t="shared" ref="T35:V35" si="2140">S35</f>
        <v>0</v>
      </c>
      <c r="U35" s="20">
        <f t="shared" si="2140"/>
        <v>0</v>
      </c>
      <c r="V35" s="21">
        <f t="shared" si="2140"/>
        <v>0</v>
      </c>
      <c r="W35" s="36">
        <v>7500.0</v>
      </c>
      <c r="X35" s="20">
        <f t="shared" si="2046"/>
        <v>7500</v>
      </c>
      <c r="Y35" s="20">
        <f t="shared" ref="Y35:Z35" si="2141">X35</f>
        <v>7500</v>
      </c>
      <c r="Z35" s="21">
        <f t="shared" si="2141"/>
        <v>7500</v>
      </c>
      <c r="AA35" s="19">
        <v>0.0</v>
      </c>
      <c r="AB35" s="20">
        <v>100000.0</v>
      </c>
      <c r="AC35" s="20">
        <f t="shared" ref="AC35:AD35" si="2142">AB35</f>
        <v>100000</v>
      </c>
      <c r="AD35" s="21">
        <f t="shared" si="2142"/>
        <v>100000</v>
      </c>
      <c r="AE35" s="19">
        <v>0.0</v>
      </c>
      <c r="AF35" s="20">
        <f t="shared" ref="AF35:AH35" si="2143">AE35</f>
        <v>0</v>
      </c>
      <c r="AG35" s="20">
        <f t="shared" si="2143"/>
        <v>0</v>
      </c>
      <c r="AH35" s="21">
        <f t="shared" si="2143"/>
        <v>0</v>
      </c>
      <c r="AI35" s="19">
        <v>0.0</v>
      </c>
      <c r="AJ35" s="20">
        <f t="shared" ref="AJ35:AL35" si="2144">AI35</f>
        <v>0</v>
      </c>
      <c r="AK35" s="20">
        <f t="shared" si="2144"/>
        <v>0</v>
      </c>
      <c r="AL35" s="21">
        <f t="shared" si="2144"/>
        <v>0</v>
      </c>
      <c r="AM35" s="19">
        <v>0.0</v>
      </c>
      <c r="AN35" s="20">
        <f t="shared" ref="AN35:AP35" si="2145">AM35</f>
        <v>0</v>
      </c>
      <c r="AO35" s="20">
        <f t="shared" si="2145"/>
        <v>0</v>
      </c>
      <c r="AP35" s="21">
        <f t="shared" si="2145"/>
        <v>0</v>
      </c>
      <c r="AQ35" s="19">
        <v>85000.0</v>
      </c>
      <c r="AR35" s="20">
        <v>0.0</v>
      </c>
      <c r="AS35" s="20">
        <f t="shared" ref="AS35:AT35" si="2146">AR35</f>
        <v>0</v>
      </c>
      <c r="AT35" s="21">
        <f t="shared" si="2146"/>
        <v>0</v>
      </c>
      <c r="AU35" s="19">
        <v>0.0</v>
      </c>
      <c r="AV35" s="20">
        <f t="shared" ref="AV35:AX35" si="2147">AU35</f>
        <v>0</v>
      </c>
      <c r="AW35" s="20">
        <f t="shared" si="2147"/>
        <v>0</v>
      </c>
      <c r="AX35" s="21">
        <f t="shared" si="2147"/>
        <v>0</v>
      </c>
      <c r="AY35" s="19">
        <v>0.0</v>
      </c>
      <c r="AZ35" s="20">
        <f t="shared" si="2053"/>
        <v>0</v>
      </c>
      <c r="BA35" s="20">
        <f t="shared" ref="BA35:BB35" si="2148">AZ35</f>
        <v>0</v>
      </c>
      <c r="BB35" s="21">
        <f t="shared" si="2148"/>
        <v>0</v>
      </c>
      <c r="BC35" s="19">
        <v>0.0</v>
      </c>
      <c r="BD35" s="20">
        <f t="shared" ref="BD35:BF35" si="2149">BC35</f>
        <v>0</v>
      </c>
      <c r="BE35" s="20">
        <f t="shared" si="2149"/>
        <v>0</v>
      </c>
      <c r="BF35" s="21">
        <f t="shared" si="2149"/>
        <v>0</v>
      </c>
      <c r="BG35" s="19">
        <v>0.0</v>
      </c>
      <c r="BH35" s="20">
        <f t="shared" ref="BH35:BJ35" si="2150">BG35</f>
        <v>0</v>
      </c>
      <c r="BI35" s="20">
        <f t="shared" si="2150"/>
        <v>0</v>
      </c>
      <c r="BJ35" s="20">
        <f t="shared" si="2150"/>
        <v>0</v>
      </c>
      <c r="BK35" s="35">
        <v>700000.0</v>
      </c>
      <c r="BL35" s="20">
        <f t="shared" ref="BL35:BN35" si="2151">BK35</f>
        <v>700000</v>
      </c>
      <c r="BM35" s="20">
        <f t="shared" si="2151"/>
        <v>700000</v>
      </c>
      <c r="BN35" s="21">
        <f t="shared" si="2151"/>
        <v>700000</v>
      </c>
      <c r="BO35" s="19">
        <v>0.0</v>
      </c>
      <c r="BP35" s="20">
        <f t="shared" si="2058"/>
        <v>0</v>
      </c>
      <c r="BQ35" s="20">
        <f t="shared" ref="BQ35:BR35" si="2152">BP35</f>
        <v>0</v>
      </c>
      <c r="BR35" s="21">
        <f t="shared" si="2152"/>
        <v>0</v>
      </c>
      <c r="BS35" s="19">
        <v>0.0</v>
      </c>
      <c r="BT35" s="20">
        <f t="shared" ref="BT35:BV35" si="2153">BS35</f>
        <v>0</v>
      </c>
      <c r="BU35" s="20">
        <f t="shared" si="2153"/>
        <v>0</v>
      </c>
      <c r="BV35" s="21">
        <f t="shared" si="2153"/>
        <v>0</v>
      </c>
      <c r="BW35" s="19">
        <v>0.0</v>
      </c>
      <c r="BX35" s="20">
        <f t="shared" ref="BX35:BZ35" si="2154">BW35</f>
        <v>0</v>
      </c>
      <c r="BY35" s="20">
        <f t="shared" si="2154"/>
        <v>0</v>
      </c>
      <c r="BZ35" s="21">
        <f t="shared" si="2154"/>
        <v>0</v>
      </c>
      <c r="CA35" s="19">
        <v>0.0</v>
      </c>
      <c r="CB35" s="20">
        <f t="shared" si="2062"/>
        <v>0</v>
      </c>
      <c r="CC35" s="20">
        <f t="shared" ref="CC35:CD35" si="2155">CB35</f>
        <v>0</v>
      </c>
      <c r="CD35" s="21">
        <f t="shared" si="2155"/>
        <v>0</v>
      </c>
      <c r="CE35" s="19">
        <v>0.0</v>
      </c>
      <c r="CF35" s="20">
        <f t="shared" ref="CF35:CH35" si="2156">CE35</f>
        <v>0</v>
      </c>
      <c r="CG35" s="20">
        <f t="shared" si="2156"/>
        <v>0</v>
      </c>
      <c r="CH35" s="21">
        <f t="shared" si="2156"/>
        <v>0</v>
      </c>
      <c r="CI35" s="19">
        <v>0.0</v>
      </c>
      <c r="CJ35" s="20">
        <f t="shared" ref="CJ35:CL35" si="2157">CI35</f>
        <v>0</v>
      </c>
      <c r="CK35" s="20">
        <f t="shared" si="2157"/>
        <v>0</v>
      </c>
      <c r="CL35" s="21">
        <f t="shared" si="2157"/>
        <v>0</v>
      </c>
      <c r="CM35" s="19">
        <v>0.0</v>
      </c>
      <c r="CN35" s="20">
        <f t="shared" si="2066"/>
        <v>0</v>
      </c>
      <c r="CO35" s="20">
        <f t="shared" ref="CO35:CP35" si="2158">CN35</f>
        <v>0</v>
      </c>
      <c r="CP35" s="21">
        <f t="shared" si="2158"/>
        <v>0</v>
      </c>
      <c r="CQ35" s="19">
        <v>0.0</v>
      </c>
      <c r="CR35" s="20">
        <f t="shared" ref="CR35:CT35" si="2159">CQ35</f>
        <v>0</v>
      </c>
      <c r="CS35" s="20">
        <f t="shared" si="2159"/>
        <v>0</v>
      </c>
      <c r="CT35" s="21">
        <f t="shared" si="2159"/>
        <v>0</v>
      </c>
      <c r="CU35" s="19">
        <v>22000.0</v>
      </c>
      <c r="CV35" s="20">
        <v>2000.0</v>
      </c>
      <c r="CW35" s="20">
        <v>22000.0</v>
      </c>
      <c r="CX35" s="21">
        <f>CW35</f>
        <v>22000</v>
      </c>
      <c r="CY35" s="19">
        <v>0.0</v>
      </c>
      <c r="CZ35" s="20">
        <f t="shared" ref="CZ35:DB35" si="2160">CY35</f>
        <v>0</v>
      </c>
      <c r="DA35" s="20">
        <f t="shared" si="2160"/>
        <v>0</v>
      </c>
      <c r="DB35" s="21">
        <f t="shared" si="2160"/>
        <v>0</v>
      </c>
      <c r="DC35" s="19">
        <v>0.0</v>
      </c>
      <c r="DD35" s="20">
        <f t="shared" si="2072"/>
        <v>0</v>
      </c>
      <c r="DE35" s="20">
        <f t="shared" ref="DE35:DF35" si="2161">DD35</f>
        <v>0</v>
      </c>
      <c r="DF35" s="21">
        <f t="shared" si="2161"/>
        <v>0</v>
      </c>
      <c r="DG35" s="19">
        <v>0.0</v>
      </c>
      <c r="DH35" s="20">
        <f t="shared" si="2074"/>
        <v>0</v>
      </c>
      <c r="DI35" s="20">
        <f t="shared" ref="DI35:DJ35" si="2162">DH35</f>
        <v>0</v>
      </c>
      <c r="DJ35" s="21">
        <f t="shared" si="2162"/>
        <v>0</v>
      </c>
      <c r="DK35" s="19">
        <v>0.0</v>
      </c>
      <c r="DL35" s="20">
        <f t="shared" si="2076"/>
        <v>0</v>
      </c>
      <c r="DM35" s="20">
        <f t="shared" ref="DM35:DN35" si="2163">DL35</f>
        <v>0</v>
      </c>
      <c r="DN35" s="21">
        <f t="shared" si="2163"/>
        <v>0</v>
      </c>
      <c r="DO35" s="19">
        <v>0.0</v>
      </c>
      <c r="DP35" s="20">
        <f t="shared" ref="DP35:DR35" si="2164">DO35</f>
        <v>0</v>
      </c>
      <c r="DQ35" s="20">
        <f t="shared" si="2164"/>
        <v>0</v>
      </c>
      <c r="DR35" s="21">
        <f t="shared" si="2164"/>
        <v>0</v>
      </c>
      <c r="DS35" s="19">
        <v>0.0</v>
      </c>
      <c r="DT35" s="20">
        <f t="shared" ref="DT35:DV35" si="2165">DS35</f>
        <v>0</v>
      </c>
      <c r="DU35" s="20">
        <f t="shared" si="2165"/>
        <v>0</v>
      </c>
      <c r="DV35" s="21">
        <f t="shared" si="2165"/>
        <v>0</v>
      </c>
      <c r="DW35" s="19">
        <v>0.0</v>
      </c>
      <c r="DX35" s="20">
        <f t="shared" si="2080"/>
        <v>0</v>
      </c>
      <c r="DY35" s="20">
        <f t="shared" ref="DY35:DZ35" si="2166">DX35</f>
        <v>0</v>
      </c>
      <c r="DZ35" s="21">
        <f t="shared" si="2166"/>
        <v>0</v>
      </c>
      <c r="EA35" s="19">
        <v>0.0</v>
      </c>
      <c r="EB35" s="20">
        <f t="shared" ref="EB35:ED35" si="2167">EA35</f>
        <v>0</v>
      </c>
      <c r="EC35" s="20">
        <f t="shared" si="2167"/>
        <v>0</v>
      </c>
      <c r="ED35" s="21">
        <f t="shared" si="2167"/>
        <v>0</v>
      </c>
      <c r="EE35" s="19">
        <v>0.0</v>
      </c>
      <c r="EF35" s="20">
        <f t="shared" si="2083"/>
        <v>0</v>
      </c>
      <c r="EG35" s="20">
        <f t="shared" ref="EG35:EH35" si="2168">EF35</f>
        <v>0</v>
      </c>
      <c r="EH35" s="21">
        <f t="shared" si="2168"/>
        <v>0</v>
      </c>
      <c r="EI35" s="19">
        <v>0.0</v>
      </c>
      <c r="EJ35" s="21">
        <f t="shared" ref="EJ35:EK35" si="2169">EI35</f>
        <v>0</v>
      </c>
      <c r="EK35" s="21">
        <f t="shared" si="2169"/>
        <v>0</v>
      </c>
      <c r="EL35" s="21">
        <f t="shared" si="797"/>
        <v>0</v>
      </c>
      <c r="EM35" s="19">
        <v>21000.0</v>
      </c>
      <c r="EN35" s="20">
        <f t="shared" si="2086"/>
        <v>21000</v>
      </c>
      <c r="EO35" s="20">
        <f t="shared" ref="EO35:EO36" si="2238">EN35</f>
        <v>21000</v>
      </c>
      <c r="EP35" s="21">
        <f>EO35-2500</f>
        <v>18500</v>
      </c>
      <c r="EQ35" s="19">
        <v>0.0</v>
      </c>
      <c r="ER35" s="20">
        <f t="shared" ref="ER35:ET35" si="2170">EQ35</f>
        <v>0</v>
      </c>
      <c r="ES35" s="20">
        <f t="shared" si="2170"/>
        <v>0</v>
      </c>
      <c r="ET35" s="21">
        <f t="shared" si="2170"/>
        <v>0</v>
      </c>
      <c r="EU35" s="19">
        <v>5000.0</v>
      </c>
      <c r="EV35" s="20">
        <v>0.0</v>
      </c>
      <c r="EW35" s="20">
        <v>2500.0</v>
      </c>
      <c r="EX35" s="21">
        <f t="shared" si="1907"/>
        <v>2500</v>
      </c>
      <c r="EY35" s="19">
        <v>0.0</v>
      </c>
      <c r="EZ35" s="20">
        <f t="shared" si="2089"/>
        <v>0</v>
      </c>
      <c r="FA35" s="20">
        <f t="shared" ref="FA35:FB35" si="2171">EZ35</f>
        <v>0</v>
      </c>
      <c r="FB35" s="21">
        <f t="shared" si="2171"/>
        <v>0</v>
      </c>
      <c r="FC35" s="19">
        <v>0.0</v>
      </c>
      <c r="FD35" s="20">
        <f t="shared" ref="FD35:FF35" si="2172">FC35</f>
        <v>0</v>
      </c>
      <c r="FE35" s="20">
        <f t="shared" si="2172"/>
        <v>0</v>
      </c>
      <c r="FF35" s="21">
        <f t="shared" si="2172"/>
        <v>0</v>
      </c>
      <c r="FG35" s="19">
        <v>0.0</v>
      </c>
      <c r="FH35" s="20">
        <f t="shared" si="2092"/>
        <v>0</v>
      </c>
      <c r="FI35" s="20">
        <f t="shared" ref="FI35:FJ35" si="2173">FH35</f>
        <v>0</v>
      </c>
      <c r="FJ35" s="21">
        <f t="shared" si="2173"/>
        <v>0</v>
      </c>
      <c r="FK35" s="19">
        <v>0.0</v>
      </c>
      <c r="FL35" s="20">
        <f t="shared" si="2094"/>
        <v>0</v>
      </c>
      <c r="FM35" s="20">
        <f t="shared" ref="FM35:FN35" si="2174">FL35</f>
        <v>0</v>
      </c>
      <c r="FN35" s="21">
        <f t="shared" si="2174"/>
        <v>0</v>
      </c>
      <c r="FO35" s="19">
        <v>0.0</v>
      </c>
      <c r="FP35" s="20">
        <f t="shared" ref="FP35:FR35" si="2175">FO35</f>
        <v>0</v>
      </c>
      <c r="FQ35" s="20">
        <f t="shared" si="2175"/>
        <v>0</v>
      </c>
      <c r="FR35" s="21">
        <f t="shared" si="2175"/>
        <v>0</v>
      </c>
      <c r="FS35" s="19">
        <v>14400.0</v>
      </c>
      <c r="FT35" s="20">
        <v>0.0</v>
      </c>
      <c r="FU35" s="20">
        <v>14400.0</v>
      </c>
      <c r="FV35" s="21">
        <f>FU35</f>
        <v>14400</v>
      </c>
      <c r="FW35" s="19">
        <v>0.0</v>
      </c>
      <c r="FX35" s="20">
        <f t="shared" si="1284"/>
        <v>0</v>
      </c>
      <c r="FY35" s="20">
        <f t="shared" ref="FY35:FZ35" si="2176">FX35</f>
        <v>0</v>
      </c>
      <c r="FZ35" s="21">
        <f t="shared" si="2176"/>
        <v>0</v>
      </c>
      <c r="GA35" s="19">
        <v>0.0</v>
      </c>
      <c r="GB35" s="20">
        <f t="shared" si="1286"/>
        <v>0</v>
      </c>
      <c r="GC35" s="20">
        <f t="shared" ref="GC35:GD35" si="2177">GB35</f>
        <v>0</v>
      </c>
      <c r="GD35" s="21">
        <f t="shared" si="2177"/>
        <v>0</v>
      </c>
      <c r="GE35" s="19">
        <v>0.0</v>
      </c>
      <c r="GF35" s="20">
        <f t="shared" si="2101"/>
        <v>0</v>
      </c>
      <c r="GG35" s="20">
        <f t="shared" ref="GG35:GH35" si="2178">GF35</f>
        <v>0</v>
      </c>
      <c r="GH35" s="21">
        <f t="shared" si="2178"/>
        <v>0</v>
      </c>
      <c r="GI35" s="19">
        <v>0.0</v>
      </c>
      <c r="GJ35" s="20">
        <f t="shared" si="2103"/>
        <v>0</v>
      </c>
      <c r="GK35" s="20">
        <f t="shared" ref="GK35:GL35" si="2179">GJ35</f>
        <v>0</v>
      </c>
      <c r="GL35" s="20">
        <f t="shared" si="2179"/>
        <v>0</v>
      </c>
      <c r="GM35" s="22">
        <v>0.0</v>
      </c>
      <c r="GN35" s="20">
        <f t="shared" ref="GN35:GP35" si="2180">GM35</f>
        <v>0</v>
      </c>
      <c r="GO35" s="20">
        <f t="shared" si="2180"/>
        <v>0</v>
      </c>
      <c r="GP35" s="21">
        <f t="shared" si="2180"/>
        <v>0</v>
      </c>
      <c r="GQ35" s="19">
        <v>0.0</v>
      </c>
      <c r="GR35" s="20">
        <f t="shared" si="2106"/>
        <v>0</v>
      </c>
      <c r="GS35" s="20">
        <f t="shared" ref="GS35:GT35" si="2181">GR35</f>
        <v>0</v>
      </c>
      <c r="GT35" s="21">
        <f t="shared" si="2181"/>
        <v>0</v>
      </c>
      <c r="GU35" s="19">
        <v>0.0</v>
      </c>
      <c r="GV35" s="20">
        <v>0.0</v>
      </c>
      <c r="GW35" s="20">
        <f t="shared" ref="GW35:GX35" si="2182">GV35</f>
        <v>0</v>
      </c>
      <c r="GX35" s="21">
        <f t="shared" si="2182"/>
        <v>0</v>
      </c>
      <c r="GY35" s="19">
        <v>6310.0</v>
      </c>
      <c r="GZ35" s="20">
        <f t="shared" si="2108"/>
        <v>6310</v>
      </c>
      <c r="HA35" s="20">
        <f t="shared" ref="HA35:HB35" si="2183">GZ35</f>
        <v>6310</v>
      </c>
      <c r="HB35" s="21">
        <f t="shared" si="2183"/>
        <v>6310</v>
      </c>
      <c r="HC35" s="19">
        <v>0.0</v>
      </c>
      <c r="HD35" s="20">
        <f t="shared" si="1430"/>
        <v>0</v>
      </c>
      <c r="HE35" s="20">
        <f t="shared" ref="HE35:HF35" si="2184">HD35</f>
        <v>0</v>
      </c>
      <c r="HF35" s="21">
        <f t="shared" si="2184"/>
        <v>0</v>
      </c>
      <c r="HG35" s="19">
        <v>0.0</v>
      </c>
      <c r="HH35" s="20">
        <f t="shared" si="2111"/>
        <v>0</v>
      </c>
      <c r="HI35" s="20">
        <f t="shared" ref="HI35:HJ35" si="2185">HH35</f>
        <v>0</v>
      </c>
      <c r="HJ35" s="21">
        <f t="shared" si="2185"/>
        <v>0</v>
      </c>
      <c r="HK35" s="19">
        <v>0.0</v>
      </c>
      <c r="HL35" s="20">
        <f t="shared" si="2113"/>
        <v>0</v>
      </c>
      <c r="HM35" s="20">
        <f t="shared" ref="HM35:HN35" si="2186">HL35</f>
        <v>0</v>
      </c>
      <c r="HN35" s="21">
        <f t="shared" si="2186"/>
        <v>0</v>
      </c>
      <c r="HO35" s="19">
        <v>0.0</v>
      </c>
      <c r="HP35" s="20">
        <f t="shared" si="2115"/>
        <v>0</v>
      </c>
      <c r="HQ35" s="20">
        <f t="shared" ref="HQ35:HR35" si="2187">HP35</f>
        <v>0</v>
      </c>
      <c r="HR35" s="21">
        <f t="shared" si="2187"/>
        <v>0</v>
      </c>
      <c r="HS35" s="19">
        <v>0.0</v>
      </c>
      <c r="HT35" s="20">
        <f t="shared" ref="HT35:HV35" si="2188">HS35</f>
        <v>0</v>
      </c>
      <c r="HU35" s="20">
        <f t="shared" si="2188"/>
        <v>0</v>
      </c>
      <c r="HV35" s="21">
        <f t="shared" si="2188"/>
        <v>0</v>
      </c>
      <c r="HW35" s="19">
        <v>0.0</v>
      </c>
      <c r="HX35" s="20">
        <f t="shared" si="2118"/>
        <v>0</v>
      </c>
      <c r="HY35" s="20">
        <f t="shared" ref="HY35:HZ35" si="2189">HX35</f>
        <v>0</v>
      </c>
      <c r="HZ35" s="21">
        <f t="shared" si="2189"/>
        <v>0</v>
      </c>
      <c r="IA35" s="19">
        <v>0.0</v>
      </c>
      <c r="IB35" s="20">
        <f t="shared" si="1789"/>
        <v>0</v>
      </c>
      <c r="IC35" s="20">
        <f t="shared" ref="IC35:ID35" si="2190">IB35</f>
        <v>0</v>
      </c>
      <c r="ID35" s="21">
        <f t="shared" si="2190"/>
        <v>0</v>
      </c>
      <c r="IE35" s="19">
        <v>0.0</v>
      </c>
      <c r="IF35" s="20">
        <f t="shared" si="1929"/>
        <v>0</v>
      </c>
      <c r="IG35" s="20">
        <f t="shared" ref="IG35:IH35" si="2191">IF35</f>
        <v>0</v>
      </c>
      <c r="IH35" s="21">
        <f t="shared" si="2191"/>
        <v>0</v>
      </c>
      <c r="II35" s="19">
        <v>0.0</v>
      </c>
      <c r="IJ35" s="20">
        <f t="shared" si="2119"/>
        <v>0</v>
      </c>
      <c r="IK35" s="20">
        <f t="shared" ref="IK35:IL35" si="2192">IJ35</f>
        <v>0</v>
      </c>
      <c r="IL35" s="21">
        <f t="shared" si="2192"/>
        <v>0</v>
      </c>
      <c r="IM35" s="19">
        <v>0.0</v>
      </c>
      <c r="IN35" s="20">
        <f t="shared" si="2121"/>
        <v>0</v>
      </c>
      <c r="IO35" s="20">
        <f t="shared" ref="IO35:IP35" si="2193">IN35</f>
        <v>0</v>
      </c>
      <c r="IP35" s="21">
        <f t="shared" si="2193"/>
        <v>0</v>
      </c>
      <c r="IQ35" s="19">
        <v>0.0</v>
      </c>
      <c r="IR35" s="20">
        <f t="shared" si="2123"/>
        <v>0</v>
      </c>
      <c r="IS35" s="20">
        <f t="shared" ref="IS35:IT35" si="2194">IR35</f>
        <v>0</v>
      </c>
      <c r="IT35" s="21">
        <f t="shared" si="2194"/>
        <v>0</v>
      </c>
      <c r="IU35" s="19">
        <v>0.0</v>
      </c>
      <c r="IV35" s="20">
        <f t="shared" si="1305"/>
        <v>0</v>
      </c>
      <c r="IW35" s="20">
        <f t="shared" ref="IW35:IX35" si="2195">IV35</f>
        <v>0</v>
      </c>
      <c r="IX35" s="21">
        <f t="shared" si="2195"/>
        <v>0</v>
      </c>
      <c r="IY35" s="19">
        <v>0.0</v>
      </c>
      <c r="IZ35" s="20">
        <f t="shared" si="2126"/>
        <v>0</v>
      </c>
      <c r="JA35" s="20">
        <f t="shared" ref="JA35:JB35" si="2196">IZ35</f>
        <v>0</v>
      </c>
      <c r="JB35" s="21">
        <f t="shared" si="2196"/>
        <v>0</v>
      </c>
      <c r="JC35" s="19">
        <v>0.0</v>
      </c>
      <c r="JD35" s="20">
        <f t="shared" si="2128"/>
        <v>0</v>
      </c>
      <c r="JE35" s="20">
        <f t="shared" ref="JE35:JF35" si="2197">JD35</f>
        <v>0</v>
      </c>
      <c r="JF35" s="20">
        <f t="shared" si="2197"/>
        <v>0</v>
      </c>
      <c r="JG35" s="19">
        <v>0.0</v>
      </c>
      <c r="JH35" s="20">
        <f t="shared" si="2130"/>
        <v>0</v>
      </c>
      <c r="JI35" s="20">
        <f t="shared" ref="JI35:JJ35" si="2198">JH35</f>
        <v>0</v>
      </c>
      <c r="JJ35" s="21">
        <f t="shared" si="2198"/>
        <v>0</v>
      </c>
      <c r="JK35" s="19">
        <v>0.0</v>
      </c>
      <c r="JL35" s="20">
        <f t="shared" ref="JL35:JN35" si="2199">JK35</f>
        <v>0</v>
      </c>
      <c r="JM35" s="20">
        <f t="shared" si="2199"/>
        <v>0</v>
      </c>
      <c r="JN35" s="21">
        <f t="shared" si="2199"/>
        <v>0</v>
      </c>
      <c r="JO35" s="19">
        <v>0.0</v>
      </c>
      <c r="JP35" s="20">
        <f t="shared" ref="JP35:JR35" si="2200">JO35</f>
        <v>0</v>
      </c>
      <c r="JQ35" s="20">
        <f t="shared" si="2200"/>
        <v>0</v>
      </c>
      <c r="JR35" s="21">
        <f t="shared" si="2200"/>
        <v>0</v>
      </c>
      <c r="JS35" s="19">
        <v>0.0</v>
      </c>
      <c r="JT35" s="20">
        <f t="shared" ref="JT35:JV35" si="2201">JS35</f>
        <v>0</v>
      </c>
      <c r="JU35" s="20">
        <f t="shared" si="2201"/>
        <v>0</v>
      </c>
      <c r="JV35" s="21">
        <f t="shared" si="2201"/>
        <v>0</v>
      </c>
      <c r="JW35" s="19">
        <v>0.0</v>
      </c>
      <c r="JX35" s="20">
        <f t="shared" ref="JX35:JZ35" si="2202">JW35</f>
        <v>0</v>
      </c>
      <c r="JY35" s="20">
        <f t="shared" si="2202"/>
        <v>0</v>
      </c>
      <c r="JZ35" s="21">
        <f t="shared" si="2202"/>
        <v>0</v>
      </c>
    </row>
    <row r="36" ht="15.75" customHeight="1">
      <c r="A36" s="24" t="s">
        <v>114</v>
      </c>
      <c r="B36" s="18"/>
      <c r="C36" s="19">
        <v>37000.0</v>
      </c>
      <c r="D36" s="20">
        <v>14000.0</v>
      </c>
      <c r="E36" s="20">
        <f t="shared" ref="E36:F36" si="2203">D36</f>
        <v>14000</v>
      </c>
      <c r="F36" s="21">
        <f t="shared" si="2203"/>
        <v>14000</v>
      </c>
      <c r="G36" s="19">
        <v>0.0</v>
      </c>
      <c r="H36" s="20">
        <f t="shared" ref="H36:J36" si="2204">G36</f>
        <v>0</v>
      </c>
      <c r="I36" s="20">
        <f t="shared" si="2204"/>
        <v>0</v>
      </c>
      <c r="J36" s="21">
        <f t="shared" si="2204"/>
        <v>0</v>
      </c>
      <c r="K36" s="19">
        <v>0.0</v>
      </c>
      <c r="L36" s="20">
        <f t="shared" ref="L36:N36" si="2205">K36</f>
        <v>0</v>
      </c>
      <c r="M36" s="20">
        <f t="shared" si="2205"/>
        <v>0</v>
      </c>
      <c r="N36" s="21">
        <f t="shared" si="2205"/>
        <v>0</v>
      </c>
      <c r="O36" s="19">
        <v>0.0</v>
      </c>
      <c r="P36" s="20">
        <f t="shared" ref="P36:R36" si="2206">O36</f>
        <v>0</v>
      </c>
      <c r="Q36" s="20">
        <f t="shared" si="2206"/>
        <v>0</v>
      </c>
      <c r="R36" s="21">
        <f t="shared" si="2206"/>
        <v>0</v>
      </c>
      <c r="S36" s="19">
        <v>0.0</v>
      </c>
      <c r="T36" s="20">
        <f t="shared" ref="T36:V36" si="2207">S36</f>
        <v>0</v>
      </c>
      <c r="U36" s="20">
        <f t="shared" si="2207"/>
        <v>0</v>
      </c>
      <c r="V36" s="21">
        <f t="shared" si="2207"/>
        <v>0</v>
      </c>
      <c r="W36" s="36">
        <v>0.0</v>
      </c>
      <c r="X36" s="20">
        <f t="shared" si="2046"/>
        <v>0</v>
      </c>
      <c r="Y36" s="20">
        <f t="shared" ref="Y36:Z36" si="2208">X36</f>
        <v>0</v>
      </c>
      <c r="Z36" s="21">
        <f t="shared" si="2208"/>
        <v>0</v>
      </c>
      <c r="AA36" s="19">
        <v>0.0</v>
      </c>
      <c r="AB36" s="20">
        <f t="shared" ref="AB36:AD36" si="2209">AA36</f>
        <v>0</v>
      </c>
      <c r="AC36" s="20">
        <f t="shared" si="2209"/>
        <v>0</v>
      </c>
      <c r="AD36" s="21">
        <f t="shared" si="2209"/>
        <v>0</v>
      </c>
      <c r="AE36" s="19">
        <v>0.0</v>
      </c>
      <c r="AF36" s="20">
        <f t="shared" ref="AF36:AH36" si="2210">AE36</f>
        <v>0</v>
      </c>
      <c r="AG36" s="20">
        <f t="shared" si="2210"/>
        <v>0</v>
      </c>
      <c r="AH36" s="21">
        <f t="shared" si="2210"/>
        <v>0</v>
      </c>
      <c r="AI36" s="19">
        <v>0.0</v>
      </c>
      <c r="AJ36" s="20">
        <f t="shared" ref="AJ36:AL36" si="2211">AI36</f>
        <v>0</v>
      </c>
      <c r="AK36" s="20">
        <f t="shared" si="2211"/>
        <v>0</v>
      </c>
      <c r="AL36" s="21">
        <f t="shared" si="2211"/>
        <v>0</v>
      </c>
      <c r="AM36" s="19">
        <v>4000.0</v>
      </c>
      <c r="AN36" s="20">
        <f t="shared" ref="AN36:AP36" si="2212">AM36</f>
        <v>4000</v>
      </c>
      <c r="AO36" s="20">
        <f t="shared" si="2212"/>
        <v>4000</v>
      </c>
      <c r="AP36" s="21">
        <f t="shared" si="2212"/>
        <v>4000</v>
      </c>
      <c r="AQ36" s="19">
        <v>1500.0</v>
      </c>
      <c r="AR36" s="20">
        <f t="shared" ref="AR36:AT36" si="2213">AQ36</f>
        <v>1500</v>
      </c>
      <c r="AS36" s="20">
        <f t="shared" si="2213"/>
        <v>1500</v>
      </c>
      <c r="AT36" s="21">
        <f t="shared" si="2213"/>
        <v>1500</v>
      </c>
      <c r="AU36" s="19">
        <v>6200.0</v>
      </c>
      <c r="AV36" s="20">
        <f t="shared" ref="AV36:AX36" si="2214">AU36</f>
        <v>6200</v>
      </c>
      <c r="AW36" s="20">
        <f t="shared" si="2214"/>
        <v>6200</v>
      </c>
      <c r="AX36" s="21">
        <f t="shared" si="2214"/>
        <v>6200</v>
      </c>
      <c r="AY36" s="19">
        <v>200.0</v>
      </c>
      <c r="AZ36" s="20">
        <f t="shared" si="2053"/>
        <v>200</v>
      </c>
      <c r="BA36" s="20">
        <f t="shared" ref="BA36:BB36" si="2215">AZ36</f>
        <v>200</v>
      </c>
      <c r="BB36" s="21">
        <f t="shared" si="2215"/>
        <v>200</v>
      </c>
      <c r="BC36" s="19">
        <v>2000.0</v>
      </c>
      <c r="BD36" s="20">
        <f t="shared" ref="BD36:BF36" si="2216">BC36</f>
        <v>2000</v>
      </c>
      <c r="BE36" s="20">
        <f t="shared" si="2216"/>
        <v>2000</v>
      </c>
      <c r="BF36" s="21">
        <f t="shared" si="2216"/>
        <v>2000</v>
      </c>
      <c r="BG36" s="19">
        <v>0.0</v>
      </c>
      <c r="BH36" s="20">
        <f t="shared" ref="BH36:BJ36" si="2217">BG36</f>
        <v>0</v>
      </c>
      <c r="BI36" s="20">
        <f t="shared" si="2217"/>
        <v>0</v>
      </c>
      <c r="BJ36" s="21">
        <f t="shared" si="2217"/>
        <v>0</v>
      </c>
      <c r="BK36" s="19">
        <v>10000.0</v>
      </c>
      <c r="BL36" s="20">
        <f t="shared" ref="BL36:BN36" si="2218">BK36</f>
        <v>10000</v>
      </c>
      <c r="BM36" s="20">
        <f t="shared" si="2218"/>
        <v>10000</v>
      </c>
      <c r="BN36" s="21">
        <f t="shared" si="2218"/>
        <v>10000</v>
      </c>
      <c r="BO36" s="19">
        <v>0.0</v>
      </c>
      <c r="BP36" s="20">
        <f t="shared" si="2058"/>
        <v>0</v>
      </c>
      <c r="BQ36" s="20">
        <f t="shared" ref="BQ36:BR36" si="2219">BP36</f>
        <v>0</v>
      </c>
      <c r="BR36" s="21">
        <f t="shared" si="2219"/>
        <v>0</v>
      </c>
      <c r="BS36" s="19">
        <v>4000.0</v>
      </c>
      <c r="BT36" s="20">
        <f t="shared" ref="BT36:BV36" si="2220">BS36</f>
        <v>4000</v>
      </c>
      <c r="BU36" s="20">
        <f t="shared" si="2220"/>
        <v>4000</v>
      </c>
      <c r="BV36" s="21">
        <f t="shared" si="2220"/>
        <v>4000</v>
      </c>
      <c r="BW36" s="19">
        <v>0.0</v>
      </c>
      <c r="BX36" s="20">
        <f t="shared" ref="BX36:BZ36" si="2221">BW36</f>
        <v>0</v>
      </c>
      <c r="BY36" s="20">
        <f t="shared" si="2221"/>
        <v>0</v>
      </c>
      <c r="BZ36" s="21">
        <f t="shared" si="2221"/>
        <v>0</v>
      </c>
      <c r="CA36" s="19">
        <v>44700.0</v>
      </c>
      <c r="CB36" s="20">
        <f t="shared" si="2062"/>
        <v>44700</v>
      </c>
      <c r="CC36" s="20">
        <f t="shared" ref="CC36:CD36" si="2222">CB36</f>
        <v>44700</v>
      </c>
      <c r="CD36" s="21">
        <f t="shared" si="2222"/>
        <v>44700</v>
      </c>
      <c r="CE36" s="19">
        <v>7000.0</v>
      </c>
      <c r="CF36" s="20">
        <f t="shared" ref="CF36:CH36" si="2223">CE36</f>
        <v>7000</v>
      </c>
      <c r="CG36" s="20">
        <f t="shared" si="2223"/>
        <v>7000</v>
      </c>
      <c r="CH36" s="21">
        <f t="shared" si="2223"/>
        <v>7000</v>
      </c>
      <c r="CI36" s="19">
        <v>0.0</v>
      </c>
      <c r="CJ36" s="20">
        <f t="shared" ref="CJ36:CL36" si="2224">CI36</f>
        <v>0</v>
      </c>
      <c r="CK36" s="20">
        <f t="shared" si="2224"/>
        <v>0</v>
      </c>
      <c r="CL36" s="21">
        <f t="shared" si="2224"/>
        <v>0</v>
      </c>
      <c r="CM36" s="19">
        <v>0.0</v>
      </c>
      <c r="CN36" s="20">
        <f t="shared" si="2066"/>
        <v>0</v>
      </c>
      <c r="CO36" s="20">
        <f t="shared" ref="CO36:CP36" si="2225">CN36</f>
        <v>0</v>
      </c>
      <c r="CP36" s="21">
        <f t="shared" si="2225"/>
        <v>0</v>
      </c>
      <c r="CQ36" s="19">
        <v>0.0</v>
      </c>
      <c r="CR36" s="20">
        <f t="shared" ref="CR36:CT36" si="2226">CQ36</f>
        <v>0</v>
      </c>
      <c r="CS36" s="20">
        <f t="shared" si="2226"/>
        <v>0</v>
      </c>
      <c r="CT36" s="21">
        <f t="shared" si="2226"/>
        <v>0</v>
      </c>
      <c r="CU36" s="19">
        <v>0.0</v>
      </c>
      <c r="CV36" s="20">
        <f t="shared" ref="CV36:CX36" si="2227">CU36</f>
        <v>0</v>
      </c>
      <c r="CW36" s="20">
        <f t="shared" si="2227"/>
        <v>0</v>
      </c>
      <c r="CX36" s="21">
        <f t="shared" si="2227"/>
        <v>0</v>
      </c>
      <c r="CY36" s="19">
        <v>0.0</v>
      </c>
      <c r="CZ36" s="20">
        <v>1000.0</v>
      </c>
      <c r="DA36" s="20">
        <f t="shared" ref="DA36:DB36" si="2228">CZ36</f>
        <v>1000</v>
      </c>
      <c r="DB36" s="21">
        <f t="shared" si="2228"/>
        <v>1000</v>
      </c>
      <c r="DC36" s="19">
        <v>0.0</v>
      </c>
      <c r="DD36" s="20">
        <f t="shared" si="2072"/>
        <v>0</v>
      </c>
      <c r="DE36" s="20">
        <f t="shared" ref="DE36:DF36" si="2229">DD36</f>
        <v>0</v>
      </c>
      <c r="DF36" s="21">
        <f t="shared" si="2229"/>
        <v>0</v>
      </c>
      <c r="DG36" s="19">
        <v>2500.0</v>
      </c>
      <c r="DH36" s="20">
        <f t="shared" si="2074"/>
        <v>2500</v>
      </c>
      <c r="DI36" s="20">
        <f t="shared" ref="DI36:DJ36" si="2230">DH36</f>
        <v>2500</v>
      </c>
      <c r="DJ36" s="21">
        <f t="shared" si="2230"/>
        <v>2500</v>
      </c>
      <c r="DK36" s="19">
        <v>0.0</v>
      </c>
      <c r="DL36" s="20">
        <f t="shared" si="2076"/>
        <v>0</v>
      </c>
      <c r="DM36" s="20">
        <f t="shared" ref="DM36:DN36" si="2231">DL36</f>
        <v>0</v>
      </c>
      <c r="DN36" s="21">
        <f t="shared" si="2231"/>
        <v>0</v>
      </c>
      <c r="DO36" s="19">
        <v>0.0</v>
      </c>
      <c r="DP36" s="20">
        <f t="shared" ref="DP36:DR36" si="2232">DO36</f>
        <v>0</v>
      </c>
      <c r="DQ36" s="20">
        <f t="shared" si="2232"/>
        <v>0</v>
      </c>
      <c r="DR36" s="21">
        <f t="shared" si="2232"/>
        <v>0</v>
      </c>
      <c r="DS36" s="19">
        <v>0.0</v>
      </c>
      <c r="DT36" s="20">
        <f t="shared" ref="DT36:DV36" si="2233">DS36</f>
        <v>0</v>
      </c>
      <c r="DU36" s="20">
        <f t="shared" si="2233"/>
        <v>0</v>
      </c>
      <c r="DV36" s="21">
        <f t="shared" si="2233"/>
        <v>0</v>
      </c>
      <c r="DW36" s="19">
        <v>0.0</v>
      </c>
      <c r="DX36" s="20">
        <f t="shared" si="2080"/>
        <v>0</v>
      </c>
      <c r="DY36" s="20">
        <f t="shared" ref="DY36:DZ36" si="2234">DX36</f>
        <v>0</v>
      </c>
      <c r="DZ36" s="21">
        <f t="shared" si="2234"/>
        <v>0</v>
      </c>
      <c r="EA36" s="19">
        <v>0.0</v>
      </c>
      <c r="EB36" s="20">
        <f t="shared" ref="EB36:ED36" si="2235">EA36</f>
        <v>0</v>
      </c>
      <c r="EC36" s="20">
        <f t="shared" si="2235"/>
        <v>0</v>
      </c>
      <c r="ED36" s="21">
        <f t="shared" si="2235"/>
        <v>0</v>
      </c>
      <c r="EE36" s="19">
        <v>15000.0</v>
      </c>
      <c r="EF36" s="20">
        <f t="shared" si="2083"/>
        <v>15000</v>
      </c>
      <c r="EG36" s="20">
        <f t="shared" ref="EG36:EH36" si="2236">EF36</f>
        <v>15000</v>
      </c>
      <c r="EH36" s="21">
        <f t="shared" si="2236"/>
        <v>15000</v>
      </c>
      <c r="EI36" s="19">
        <v>0.0</v>
      </c>
      <c r="EJ36" s="21">
        <f t="shared" ref="EJ36:EK36" si="2237">EI36</f>
        <v>0</v>
      </c>
      <c r="EK36" s="21">
        <f t="shared" si="2237"/>
        <v>0</v>
      </c>
      <c r="EL36" s="21">
        <f t="shared" si="797"/>
        <v>0</v>
      </c>
      <c r="EM36" s="19">
        <v>0.0</v>
      </c>
      <c r="EN36" s="20">
        <f t="shared" si="2086"/>
        <v>0</v>
      </c>
      <c r="EO36" s="20">
        <f t="shared" si="2238"/>
        <v>0</v>
      </c>
      <c r="EP36" s="21">
        <f>EO36</f>
        <v>0</v>
      </c>
      <c r="EQ36" s="19">
        <v>500.0</v>
      </c>
      <c r="ER36" s="20">
        <f t="shared" ref="ER36:ET36" si="2239">EQ36</f>
        <v>500</v>
      </c>
      <c r="ES36" s="20">
        <f t="shared" si="2239"/>
        <v>500</v>
      </c>
      <c r="ET36" s="21">
        <f t="shared" si="2239"/>
        <v>500</v>
      </c>
      <c r="EU36" s="19">
        <v>8000.0</v>
      </c>
      <c r="EV36" s="20">
        <v>0.0</v>
      </c>
      <c r="EW36" s="20">
        <v>8000.0</v>
      </c>
      <c r="EX36" s="21">
        <f t="shared" si="1907"/>
        <v>8000</v>
      </c>
      <c r="EY36" s="19">
        <v>9000.0</v>
      </c>
      <c r="EZ36" s="20">
        <v>0.0</v>
      </c>
      <c r="FA36" s="20">
        <v>3000.0</v>
      </c>
      <c r="FB36" s="21">
        <f>FA36</f>
        <v>3000</v>
      </c>
      <c r="FC36" s="19">
        <v>0.0</v>
      </c>
      <c r="FD36" s="20">
        <f t="shared" ref="FD36:FF36" si="2240">FC36</f>
        <v>0</v>
      </c>
      <c r="FE36" s="20">
        <f t="shared" si="2240"/>
        <v>0</v>
      </c>
      <c r="FF36" s="21">
        <f t="shared" si="2240"/>
        <v>0</v>
      </c>
      <c r="FG36" s="19">
        <v>0.0</v>
      </c>
      <c r="FH36" s="20">
        <f t="shared" si="2092"/>
        <v>0</v>
      </c>
      <c r="FI36" s="20">
        <f t="shared" ref="FI36:FJ36" si="2241">FH36</f>
        <v>0</v>
      </c>
      <c r="FJ36" s="21">
        <f t="shared" si="2241"/>
        <v>0</v>
      </c>
      <c r="FK36" s="19">
        <v>0.0</v>
      </c>
      <c r="FL36" s="20">
        <f t="shared" si="2094"/>
        <v>0</v>
      </c>
      <c r="FM36" s="20">
        <f t="shared" ref="FM36:FN36" si="2242">FL36</f>
        <v>0</v>
      </c>
      <c r="FN36" s="21">
        <f t="shared" si="2242"/>
        <v>0</v>
      </c>
      <c r="FO36" s="19">
        <v>0.0</v>
      </c>
      <c r="FP36" s="20">
        <f t="shared" ref="FP36:FR36" si="2243">FO36</f>
        <v>0</v>
      </c>
      <c r="FQ36" s="20">
        <f t="shared" si="2243"/>
        <v>0</v>
      </c>
      <c r="FR36" s="21">
        <f t="shared" si="2243"/>
        <v>0</v>
      </c>
      <c r="FS36" s="19">
        <v>20000.0</v>
      </c>
      <c r="FT36" s="20">
        <v>0.0</v>
      </c>
      <c r="FU36" s="20">
        <v>5000.0</v>
      </c>
      <c r="FV36" s="21">
        <v>10000.0</v>
      </c>
      <c r="FW36" s="19">
        <v>0.0</v>
      </c>
      <c r="FX36" s="20">
        <f t="shared" si="1284"/>
        <v>0</v>
      </c>
      <c r="FY36" s="20">
        <f t="shared" ref="FY36:FZ36" si="2244">FX36</f>
        <v>0</v>
      </c>
      <c r="FZ36" s="21">
        <f t="shared" si="2244"/>
        <v>0</v>
      </c>
      <c r="GA36" s="19">
        <v>0.0</v>
      </c>
      <c r="GB36" s="20">
        <f t="shared" si="1286"/>
        <v>0</v>
      </c>
      <c r="GC36" s="20">
        <f t="shared" ref="GC36:GD36" si="2245">GB36</f>
        <v>0</v>
      </c>
      <c r="GD36" s="21">
        <f t="shared" si="2245"/>
        <v>0</v>
      </c>
      <c r="GE36" s="19">
        <v>0.0</v>
      </c>
      <c r="GF36" s="20">
        <f t="shared" si="2101"/>
        <v>0</v>
      </c>
      <c r="GG36" s="20">
        <f t="shared" ref="GG36:GH36" si="2246">GF36</f>
        <v>0</v>
      </c>
      <c r="GH36" s="21">
        <f t="shared" si="2246"/>
        <v>0</v>
      </c>
      <c r="GI36" s="19">
        <v>0.0</v>
      </c>
      <c r="GJ36" s="20">
        <f t="shared" si="2103"/>
        <v>0</v>
      </c>
      <c r="GK36" s="20">
        <f t="shared" ref="GK36:GL36" si="2247">GJ36</f>
        <v>0</v>
      </c>
      <c r="GL36" s="20">
        <f t="shared" si="2247"/>
        <v>0</v>
      </c>
      <c r="GM36" s="22">
        <v>0.0</v>
      </c>
      <c r="GN36" s="20">
        <f t="shared" ref="GN36:GP36" si="2248">GM36</f>
        <v>0</v>
      </c>
      <c r="GO36" s="20">
        <f t="shared" si="2248"/>
        <v>0</v>
      </c>
      <c r="GP36" s="21">
        <f t="shared" si="2248"/>
        <v>0</v>
      </c>
      <c r="GQ36" s="19">
        <v>0.0</v>
      </c>
      <c r="GR36" s="20">
        <f t="shared" si="2106"/>
        <v>0</v>
      </c>
      <c r="GS36" s="20">
        <f t="shared" ref="GS36:GT36" si="2249">GR36</f>
        <v>0</v>
      </c>
      <c r="GT36" s="21">
        <f t="shared" si="2249"/>
        <v>0</v>
      </c>
      <c r="GU36" s="19">
        <v>0.0</v>
      </c>
      <c r="GV36" s="20">
        <f t="shared" ref="GV36:GX36" si="2250">GU36</f>
        <v>0</v>
      </c>
      <c r="GW36" s="20">
        <f t="shared" si="2250"/>
        <v>0</v>
      </c>
      <c r="GX36" s="21">
        <f t="shared" si="2250"/>
        <v>0</v>
      </c>
      <c r="GY36" s="19">
        <v>0.0</v>
      </c>
      <c r="GZ36" s="20">
        <f t="shared" si="2108"/>
        <v>0</v>
      </c>
      <c r="HA36" s="20">
        <f t="shared" ref="HA36:HB36" si="2251">GZ36</f>
        <v>0</v>
      </c>
      <c r="HB36" s="21">
        <f t="shared" si="2251"/>
        <v>0</v>
      </c>
      <c r="HC36" s="19">
        <v>0.0</v>
      </c>
      <c r="HD36" s="20">
        <f t="shared" si="1430"/>
        <v>0</v>
      </c>
      <c r="HE36" s="20">
        <f t="shared" ref="HE36:HF36" si="2252">HD36</f>
        <v>0</v>
      </c>
      <c r="HF36" s="21">
        <f t="shared" si="2252"/>
        <v>0</v>
      </c>
      <c r="HG36" s="19">
        <v>0.0</v>
      </c>
      <c r="HH36" s="20">
        <f t="shared" si="2111"/>
        <v>0</v>
      </c>
      <c r="HI36" s="20">
        <f t="shared" ref="HI36:HJ36" si="2253">HH36</f>
        <v>0</v>
      </c>
      <c r="HJ36" s="21">
        <f t="shared" si="2253"/>
        <v>0</v>
      </c>
      <c r="HK36" s="19">
        <v>0.0</v>
      </c>
      <c r="HL36" s="20">
        <f t="shared" si="2113"/>
        <v>0</v>
      </c>
      <c r="HM36" s="20">
        <f t="shared" ref="HM36:HN36" si="2254">HL36</f>
        <v>0</v>
      </c>
      <c r="HN36" s="21">
        <f t="shared" si="2254"/>
        <v>0</v>
      </c>
      <c r="HO36" s="19">
        <v>0.0</v>
      </c>
      <c r="HP36" s="20">
        <f t="shared" si="2115"/>
        <v>0</v>
      </c>
      <c r="HQ36" s="20">
        <f t="shared" ref="HQ36:HR36" si="2255">HP36</f>
        <v>0</v>
      </c>
      <c r="HR36" s="21">
        <f t="shared" si="2255"/>
        <v>0</v>
      </c>
      <c r="HS36" s="19">
        <v>0.0</v>
      </c>
      <c r="HT36" s="20">
        <f t="shared" ref="HT36:HV36" si="2256">HS36</f>
        <v>0</v>
      </c>
      <c r="HU36" s="20">
        <f t="shared" si="2256"/>
        <v>0</v>
      </c>
      <c r="HV36" s="21">
        <f t="shared" si="2256"/>
        <v>0</v>
      </c>
      <c r="HW36" s="19">
        <v>0.0</v>
      </c>
      <c r="HX36" s="20">
        <f t="shared" si="2118"/>
        <v>0</v>
      </c>
      <c r="HY36" s="20">
        <f t="shared" ref="HY36:HZ36" si="2257">HX36</f>
        <v>0</v>
      </c>
      <c r="HZ36" s="21">
        <f t="shared" si="2257"/>
        <v>0</v>
      </c>
      <c r="IA36" s="19">
        <v>0.0</v>
      </c>
      <c r="IB36" s="20">
        <f t="shared" si="1789"/>
        <v>0</v>
      </c>
      <c r="IC36" s="20">
        <f t="shared" ref="IC36:ID36" si="2258">IB36</f>
        <v>0</v>
      </c>
      <c r="ID36" s="21">
        <f t="shared" si="2258"/>
        <v>0</v>
      </c>
      <c r="IE36" s="19">
        <v>0.0</v>
      </c>
      <c r="IF36" s="20">
        <f t="shared" si="1929"/>
        <v>0</v>
      </c>
      <c r="IG36" s="20">
        <f t="shared" ref="IG36:IH36" si="2259">IF36</f>
        <v>0</v>
      </c>
      <c r="IH36" s="21">
        <f t="shared" si="2259"/>
        <v>0</v>
      </c>
      <c r="II36" s="19">
        <v>200.0</v>
      </c>
      <c r="IJ36" s="20">
        <f t="shared" si="2119"/>
        <v>200</v>
      </c>
      <c r="IK36" s="20">
        <f t="shared" ref="IK36:IL36" si="2260">IJ36</f>
        <v>200</v>
      </c>
      <c r="IL36" s="21">
        <f t="shared" si="2260"/>
        <v>200</v>
      </c>
      <c r="IM36" s="19">
        <v>0.0</v>
      </c>
      <c r="IN36" s="20">
        <f t="shared" si="2121"/>
        <v>0</v>
      </c>
      <c r="IO36" s="20">
        <f t="shared" ref="IO36:IP36" si="2261">IN36</f>
        <v>0</v>
      </c>
      <c r="IP36" s="21">
        <f t="shared" si="2261"/>
        <v>0</v>
      </c>
      <c r="IQ36" s="19">
        <v>30250.0</v>
      </c>
      <c r="IR36" s="20">
        <f t="shared" si="2123"/>
        <v>30250</v>
      </c>
      <c r="IS36" s="20">
        <f t="shared" ref="IS36:IT36" si="2262">IR36</f>
        <v>30250</v>
      </c>
      <c r="IT36" s="21">
        <f t="shared" si="2262"/>
        <v>30250</v>
      </c>
      <c r="IU36" s="19">
        <v>0.0</v>
      </c>
      <c r="IV36" s="20">
        <f t="shared" si="1305"/>
        <v>0</v>
      </c>
      <c r="IW36" s="20">
        <f t="shared" ref="IW36:IX36" si="2263">IV36</f>
        <v>0</v>
      </c>
      <c r="IX36" s="21">
        <f t="shared" si="2263"/>
        <v>0</v>
      </c>
      <c r="IY36" s="19">
        <v>0.0</v>
      </c>
      <c r="IZ36" s="20">
        <f t="shared" si="2126"/>
        <v>0</v>
      </c>
      <c r="JA36" s="20">
        <f t="shared" ref="JA36:JB36" si="2264">IZ36</f>
        <v>0</v>
      </c>
      <c r="JB36" s="21">
        <f t="shared" si="2264"/>
        <v>0</v>
      </c>
      <c r="JC36" s="19">
        <v>55250.0</v>
      </c>
      <c r="JD36" s="20">
        <f t="shared" si="2128"/>
        <v>55250</v>
      </c>
      <c r="JE36" s="20">
        <f t="shared" ref="JE36:JF36" si="2265">JD36</f>
        <v>55250</v>
      </c>
      <c r="JF36" s="20">
        <f t="shared" si="2265"/>
        <v>55250</v>
      </c>
      <c r="JG36" s="19">
        <v>0.0</v>
      </c>
      <c r="JH36" s="20">
        <f t="shared" si="2130"/>
        <v>0</v>
      </c>
      <c r="JI36" s="20">
        <f t="shared" ref="JI36:JJ36" si="2266">JH36</f>
        <v>0</v>
      </c>
      <c r="JJ36" s="21">
        <f t="shared" si="2266"/>
        <v>0</v>
      </c>
      <c r="JK36" s="19">
        <v>0.0</v>
      </c>
      <c r="JL36" s="20">
        <f t="shared" ref="JL36:JN36" si="2267">JK36</f>
        <v>0</v>
      </c>
      <c r="JM36" s="20">
        <f t="shared" si="2267"/>
        <v>0</v>
      </c>
      <c r="JN36" s="21">
        <f t="shared" si="2267"/>
        <v>0</v>
      </c>
      <c r="JO36" s="19">
        <v>0.0</v>
      </c>
      <c r="JP36" s="20">
        <f t="shared" ref="JP36:JR36" si="2268">JO36</f>
        <v>0</v>
      </c>
      <c r="JQ36" s="20">
        <f t="shared" si="2268"/>
        <v>0</v>
      </c>
      <c r="JR36" s="21">
        <f t="shared" si="2268"/>
        <v>0</v>
      </c>
      <c r="JS36" s="19">
        <v>0.0</v>
      </c>
      <c r="JT36" s="20">
        <f t="shared" ref="JT36:JV36" si="2269">JS36</f>
        <v>0</v>
      </c>
      <c r="JU36" s="20">
        <f t="shared" si="2269"/>
        <v>0</v>
      </c>
      <c r="JV36" s="21">
        <f t="shared" si="2269"/>
        <v>0</v>
      </c>
      <c r="JW36" s="19">
        <v>0.0</v>
      </c>
      <c r="JX36" s="20">
        <f t="shared" ref="JX36:JZ36" si="2270">JW36</f>
        <v>0</v>
      </c>
      <c r="JY36" s="20">
        <f t="shared" si="2270"/>
        <v>0</v>
      </c>
      <c r="JZ36" s="21">
        <f t="shared" si="2270"/>
        <v>0</v>
      </c>
    </row>
    <row r="37" ht="15.75" customHeight="1">
      <c r="A37" s="24" t="s">
        <v>115</v>
      </c>
      <c r="B37" s="18"/>
      <c r="C37" s="19">
        <v>9000.0</v>
      </c>
      <c r="D37" s="20">
        <v>5000.0</v>
      </c>
      <c r="E37" s="20">
        <v>3000.0</v>
      </c>
      <c r="F37" s="21">
        <f>E37</f>
        <v>3000</v>
      </c>
      <c r="G37" s="19">
        <v>43000.0</v>
      </c>
      <c r="H37" s="20">
        <f t="shared" ref="H37:I37" si="2271">G37</f>
        <v>43000</v>
      </c>
      <c r="I37" s="20">
        <f t="shared" si="2271"/>
        <v>43000</v>
      </c>
      <c r="J37" s="21">
        <v>45000.0</v>
      </c>
      <c r="K37" s="19">
        <v>0.0</v>
      </c>
      <c r="L37" s="20">
        <f t="shared" ref="L37:N37" si="2272">K37</f>
        <v>0</v>
      </c>
      <c r="M37" s="20">
        <f t="shared" si="2272"/>
        <v>0</v>
      </c>
      <c r="N37" s="21">
        <f t="shared" si="2272"/>
        <v>0</v>
      </c>
      <c r="O37" s="19">
        <v>0.0</v>
      </c>
      <c r="P37" s="20">
        <f t="shared" ref="P37:R37" si="2273">O37</f>
        <v>0</v>
      </c>
      <c r="Q37" s="20">
        <f t="shared" si="2273"/>
        <v>0</v>
      </c>
      <c r="R37" s="21">
        <f t="shared" si="2273"/>
        <v>0</v>
      </c>
      <c r="S37" s="19">
        <v>12000.0</v>
      </c>
      <c r="T37" s="20">
        <f t="shared" ref="T37:V37" si="2274">S37</f>
        <v>12000</v>
      </c>
      <c r="U37" s="20">
        <f t="shared" si="2274"/>
        <v>12000</v>
      </c>
      <c r="V37" s="21">
        <f t="shared" si="2274"/>
        <v>12000</v>
      </c>
      <c r="W37" s="36">
        <v>5000.0</v>
      </c>
      <c r="X37" s="20">
        <f t="shared" si="2046"/>
        <v>5000</v>
      </c>
      <c r="Y37" s="20">
        <f>X37+2100</f>
        <v>7100</v>
      </c>
      <c r="Z37" s="21">
        <f>Y37</f>
        <v>7100</v>
      </c>
      <c r="AA37" s="19">
        <v>0.0</v>
      </c>
      <c r="AB37" s="20">
        <v>0.0</v>
      </c>
      <c r="AC37" s="20">
        <f t="shared" ref="AC37:AD37" si="2275">AB37</f>
        <v>0</v>
      </c>
      <c r="AD37" s="21">
        <f t="shared" si="2275"/>
        <v>0</v>
      </c>
      <c r="AE37" s="19">
        <v>0.0</v>
      </c>
      <c r="AF37" s="20">
        <f t="shared" ref="AF37:AH37" si="2276">AE37</f>
        <v>0</v>
      </c>
      <c r="AG37" s="20">
        <f t="shared" si="2276"/>
        <v>0</v>
      </c>
      <c r="AH37" s="21">
        <f t="shared" si="2276"/>
        <v>0</v>
      </c>
      <c r="AI37" s="19">
        <v>1500.0</v>
      </c>
      <c r="AJ37" s="20">
        <v>0.0</v>
      </c>
      <c r="AK37" s="20">
        <f>3500+780</f>
        <v>4280</v>
      </c>
      <c r="AL37" s="21">
        <v>0.0</v>
      </c>
      <c r="AM37" s="19">
        <v>167871.0</v>
      </c>
      <c r="AN37" s="20">
        <f t="shared" ref="AN37:AP37" si="2277">AM37</f>
        <v>167871</v>
      </c>
      <c r="AO37" s="20">
        <f t="shared" si="2277"/>
        <v>167871</v>
      </c>
      <c r="AP37" s="21">
        <f t="shared" si="2277"/>
        <v>167871</v>
      </c>
      <c r="AQ37" s="19">
        <v>0.0</v>
      </c>
      <c r="AR37" s="20">
        <f t="shared" ref="AR37:AT37" si="2278">AQ37</f>
        <v>0</v>
      </c>
      <c r="AS37" s="20">
        <f t="shared" si="2278"/>
        <v>0</v>
      </c>
      <c r="AT37" s="21">
        <f t="shared" si="2278"/>
        <v>0</v>
      </c>
      <c r="AU37" s="19">
        <v>5000.0</v>
      </c>
      <c r="AV37" s="20">
        <f t="shared" ref="AV37:AX37" si="2279">AU37</f>
        <v>5000</v>
      </c>
      <c r="AW37" s="20">
        <f t="shared" si="2279"/>
        <v>5000</v>
      </c>
      <c r="AX37" s="21">
        <f t="shared" si="2279"/>
        <v>5000</v>
      </c>
      <c r="AY37" s="19">
        <v>3600.0</v>
      </c>
      <c r="AZ37" s="20">
        <f t="shared" si="2053"/>
        <v>3600</v>
      </c>
      <c r="BA37" s="20">
        <f t="shared" ref="BA37:BB37" si="2280">AZ37</f>
        <v>3600</v>
      </c>
      <c r="BB37" s="21">
        <f t="shared" si="2280"/>
        <v>3600</v>
      </c>
      <c r="BC37" s="19">
        <v>599900.0</v>
      </c>
      <c r="BD37" s="20">
        <f>600662-8124</f>
        <v>592538</v>
      </c>
      <c r="BE37" s="20">
        <f>629262-8124</f>
        <v>621138</v>
      </c>
      <c r="BF37" s="21">
        <f>BE37</f>
        <v>621138</v>
      </c>
      <c r="BG37" s="19">
        <v>27500.0</v>
      </c>
      <c r="BH37" s="20">
        <v>0.0</v>
      </c>
      <c r="BI37" s="20">
        <f t="shared" ref="BI37:BJ37" si="2281">BH37</f>
        <v>0</v>
      </c>
      <c r="BJ37" s="20">
        <f t="shared" si="2281"/>
        <v>0</v>
      </c>
      <c r="BK37" s="35">
        <v>550000.0</v>
      </c>
      <c r="BL37" s="20">
        <f>677360.6-11592</f>
        <v>665768.6</v>
      </c>
      <c r="BM37" s="20">
        <f t="shared" ref="BM37:BN37" si="2282">BL37</f>
        <v>665768.6</v>
      </c>
      <c r="BN37" s="21">
        <f t="shared" si="2282"/>
        <v>665768.6</v>
      </c>
      <c r="BO37" s="19">
        <v>188428.25</v>
      </c>
      <c r="BP37" s="20">
        <f>171586-7</f>
        <v>171579</v>
      </c>
      <c r="BQ37" s="20">
        <f t="shared" ref="BQ37:BR37" si="2283">BP37</f>
        <v>171579</v>
      </c>
      <c r="BR37" s="21">
        <f t="shared" si="2283"/>
        <v>171579</v>
      </c>
      <c r="BS37" s="19">
        <v>0.0</v>
      </c>
      <c r="BT37" s="20">
        <f t="shared" ref="BT37:BV37" si="2284">BS37</f>
        <v>0</v>
      </c>
      <c r="BU37" s="20">
        <f t="shared" si="2284"/>
        <v>0</v>
      </c>
      <c r="BV37" s="21">
        <f t="shared" si="2284"/>
        <v>0</v>
      </c>
      <c r="BW37" s="19">
        <v>0.0</v>
      </c>
      <c r="BX37" s="20">
        <f t="shared" ref="BX37:BZ37" si="2285">BW37</f>
        <v>0</v>
      </c>
      <c r="BY37" s="20">
        <f t="shared" si="2285"/>
        <v>0</v>
      </c>
      <c r="BZ37" s="21">
        <f t="shared" si="2285"/>
        <v>0</v>
      </c>
      <c r="CA37" s="19">
        <v>85904.0</v>
      </c>
      <c r="CB37" s="20">
        <f>71768+1</f>
        <v>71769</v>
      </c>
      <c r="CC37" s="20">
        <f>CB37+560</f>
        <v>72329</v>
      </c>
      <c r="CD37" s="21">
        <f>CC37</f>
        <v>72329</v>
      </c>
      <c r="CE37" s="19">
        <v>25000.0</v>
      </c>
      <c r="CF37" s="20">
        <v>1011.0</v>
      </c>
      <c r="CG37" s="20">
        <f t="shared" ref="CG37:CH37" si="2286">CF37</f>
        <v>1011</v>
      </c>
      <c r="CH37" s="21">
        <f t="shared" si="2286"/>
        <v>1011</v>
      </c>
      <c r="CI37" s="19">
        <v>0.0</v>
      </c>
      <c r="CJ37" s="20">
        <f t="shared" ref="CJ37:CL37" si="2287">CI37</f>
        <v>0</v>
      </c>
      <c r="CK37" s="20">
        <f t="shared" si="2287"/>
        <v>0</v>
      </c>
      <c r="CL37" s="21">
        <f t="shared" si="2287"/>
        <v>0</v>
      </c>
      <c r="CM37" s="19">
        <v>11000.0</v>
      </c>
      <c r="CN37" s="20">
        <f>7916.1-2</f>
        <v>7914.1</v>
      </c>
      <c r="CO37" s="20">
        <f>CN37+20</f>
        <v>7934.1</v>
      </c>
      <c r="CP37" s="21">
        <f>CO37</f>
        <v>7934.1</v>
      </c>
      <c r="CQ37" s="19">
        <v>0.0</v>
      </c>
      <c r="CR37" s="20">
        <f t="shared" ref="CR37:CT37" si="2288">CQ37</f>
        <v>0</v>
      </c>
      <c r="CS37" s="20">
        <f t="shared" si="2288"/>
        <v>0</v>
      </c>
      <c r="CT37" s="21">
        <f t="shared" si="2288"/>
        <v>0</v>
      </c>
      <c r="CU37" s="19">
        <v>17000.0</v>
      </c>
      <c r="CV37" s="20">
        <v>4184.0</v>
      </c>
      <c r="CW37" s="20">
        <v>18038.0</v>
      </c>
      <c r="CX37" s="21">
        <f>CW37</f>
        <v>18038</v>
      </c>
      <c r="CY37" s="19">
        <v>175000.0</v>
      </c>
      <c r="CZ37" s="20">
        <v>175000.0</v>
      </c>
      <c r="DA37" s="20">
        <f t="shared" ref="DA37:DB37" si="2289">CZ37</f>
        <v>175000</v>
      </c>
      <c r="DB37" s="21">
        <f t="shared" si="2289"/>
        <v>175000</v>
      </c>
      <c r="DC37" s="19">
        <v>100000.0</v>
      </c>
      <c r="DD37" s="20">
        <f t="shared" si="2072"/>
        <v>100000</v>
      </c>
      <c r="DE37" s="20">
        <f>DD37+1740</f>
        <v>101740</v>
      </c>
      <c r="DF37" s="21">
        <f>DE37</f>
        <v>101740</v>
      </c>
      <c r="DG37" s="19">
        <v>2500.0</v>
      </c>
      <c r="DH37" s="20">
        <f t="shared" si="2074"/>
        <v>2500</v>
      </c>
      <c r="DI37" s="20">
        <f t="shared" ref="DI37:DJ37" si="2290">DH37</f>
        <v>2500</v>
      </c>
      <c r="DJ37" s="21">
        <f t="shared" si="2290"/>
        <v>2500</v>
      </c>
      <c r="DK37" s="19">
        <v>0.0</v>
      </c>
      <c r="DL37" s="20">
        <f t="shared" si="2076"/>
        <v>0</v>
      </c>
      <c r="DM37" s="20">
        <f t="shared" ref="DM37:DN37" si="2291">DL37</f>
        <v>0</v>
      </c>
      <c r="DN37" s="21">
        <f t="shared" si="2291"/>
        <v>0</v>
      </c>
      <c r="DO37" s="19">
        <v>0.0</v>
      </c>
      <c r="DP37" s="20">
        <f t="shared" ref="DP37:DR37" si="2292">DO37</f>
        <v>0</v>
      </c>
      <c r="DQ37" s="20">
        <f t="shared" si="2292"/>
        <v>0</v>
      </c>
      <c r="DR37" s="21">
        <f t="shared" si="2292"/>
        <v>0</v>
      </c>
      <c r="DS37" s="19">
        <v>0.0</v>
      </c>
      <c r="DT37" s="20">
        <f t="shared" ref="DT37:DV37" si="2293">DS37</f>
        <v>0</v>
      </c>
      <c r="DU37" s="20">
        <f t="shared" si="2293"/>
        <v>0</v>
      </c>
      <c r="DV37" s="21">
        <f t="shared" si="2293"/>
        <v>0</v>
      </c>
      <c r="DW37" s="19">
        <v>18800.0</v>
      </c>
      <c r="DX37" s="20">
        <f>3198-2</f>
        <v>3196</v>
      </c>
      <c r="DY37" s="20">
        <f>12198-2</f>
        <v>12196</v>
      </c>
      <c r="DZ37" s="21">
        <f>3198-2</f>
        <v>3196</v>
      </c>
      <c r="EA37" s="19">
        <f>601028.45+50000</f>
        <v>651028.45</v>
      </c>
      <c r="EB37" s="20">
        <f>465600+40000</f>
        <v>505600</v>
      </c>
      <c r="EC37" s="20">
        <v>525489.0</v>
      </c>
      <c r="ED37" s="21">
        <f>500494-26</f>
        <v>500468</v>
      </c>
      <c r="EE37" s="19">
        <v>36144.55</v>
      </c>
      <c r="EF37" s="20">
        <f>35250.55-2</f>
        <v>35248.55</v>
      </c>
      <c r="EG37" s="20">
        <f t="shared" ref="EG37:EH37" si="2294">EF37</f>
        <v>35248.55</v>
      </c>
      <c r="EH37" s="21">
        <f t="shared" si="2294"/>
        <v>35248.55</v>
      </c>
      <c r="EI37" s="19">
        <v>0.0</v>
      </c>
      <c r="EJ37" s="21">
        <f t="shared" ref="EJ37:EK37" si="2295">EI37</f>
        <v>0</v>
      </c>
      <c r="EK37" s="21">
        <f t="shared" si="2295"/>
        <v>0</v>
      </c>
      <c r="EL37" s="21">
        <f t="shared" si="797"/>
        <v>0</v>
      </c>
      <c r="EM37" s="19">
        <v>10901.6</v>
      </c>
      <c r="EN37" s="20">
        <v>8312.0</v>
      </c>
      <c r="EO37" s="20">
        <f>EN37+3190</f>
        <v>11502</v>
      </c>
      <c r="EP37" s="21">
        <f>EO37-5000</f>
        <v>6502</v>
      </c>
      <c r="EQ37" s="19">
        <v>1500.0</v>
      </c>
      <c r="ER37" s="20">
        <f t="shared" ref="ER37:ET37" si="2296">EQ37</f>
        <v>1500</v>
      </c>
      <c r="ES37" s="20">
        <f t="shared" si="2296"/>
        <v>1500</v>
      </c>
      <c r="ET37" s="21">
        <f t="shared" si="2296"/>
        <v>1500</v>
      </c>
      <c r="EU37" s="19">
        <v>15900.0</v>
      </c>
      <c r="EV37" s="20">
        <v>0.0</v>
      </c>
      <c r="EW37" s="20">
        <v>12000.0</v>
      </c>
      <c r="EX37" s="21">
        <f t="shared" si="1907"/>
        <v>12000</v>
      </c>
      <c r="EY37" s="19">
        <v>4500.0</v>
      </c>
      <c r="EZ37" s="20">
        <f t="shared" ref="EZ37:FB37" si="2297">EY37</f>
        <v>4500</v>
      </c>
      <c r="FA37" s="20">
        <f t="shared" si="2297"/>
        <v>4500</v>
      </c>
      <c r="FB37" s="21">
        <f t="shared" si="2297"/>
        <v>4500</v>
      </c>
      <c r="FC37" s="19">
        <v>70000.0</v>
      </c>
      <c r="FD37" s="20">
        <f t="shared" ref="FD37:FF37" si="2298">FC37</f>
        <v>70000</v>
      </c>
      <c r="FE37" s="20">
        <f t="shared" si="2298"/>
        <v>70000</v>
      </c>
      <c r="FF37" s="21">
        <f t="shared" si="2298"/>
        <v>70000</v>
      </c>
      <c r="FG37" s="19">
        <v>15000.0</v>
      </c>
      <c r="FH37" s="20">
        <f t="shared" si="2092"/>
        <v>15000</v>
      </c>
      <c r="FI37" s="20">
        <f t="shared" ref="FI37:FJ37" si="2299">FH37</f>
        <v>15000</v>
      </c>
      <c r="FJ37" s="21">
        <f t="shared" si="2299"/>
        <v>15000</v>
      </c>
      <c r="FK37" s="19">
        <v>0.0</v>
      </c>
      <c r="FL37" s="20">
        <f t="shared" si="2094"/>
        <v>0</v>
      </c>
      <c r="FM37" s="20">
        <f t="shared" ref="FM37:FN37" si="2300">FL37</f>
        <v>0</v>
      </c>
      <c r="FN37" s="21">
        <f t="shared" si="2300"/>
        <v>0</v>
      </c>
      <c r="FO37" s="19">
        <v>9150.0</v>
      </c>
      <c r="FP37" s="20">
        <v>0.0</v>
      </c>
      <c r="FQ37" s="20">
        <f t="shared" ref="FQ37:FR37" si="2301">FP37</f>
        <v>0</v>
      </c>
      <c r="FR37" s="21">
        <f t="shared" si="2301"/>
        <v>0</v>
      </c>
      <c r="FS37" s="19">
        <v>30000.0</v>
      </c>
      <c r="FT37" s="20">
        <v>9600.0</v>
      </c>
      <c r="FU37" s="20">
        <v>30000.0</v>
      </c>
      <c r="FV37" s="21">
        <f>FU37</f>
        <v>30000</v>
      </c>
      <c r="FW37" s="19">
        <v>15000.0</v>
      </c>
      <c r="FX37" s="20">
        <v>5300.0</v>
      </c>
      <c r="FY37" s="20">
        <f t="shared" ref="FY37:FZ37" si="2302">FX37</f>
        <v>5300</v>
      </c>
      <c r="FZ37" s="21">
        <f t="shared" si="2302"/>
        <v>5300</v>
      </c>
      <c r="GA37" s="19">
        <v>0.0</v>
      </c>
      <c r="GB37" s="20">
        <f t="shared" si="1286"/>
        <v>0</v>
      </c>
      <c r="GC37" s="20">
        <f t="shared" ref="GC37:GD37" si="2303">GB37</f>
        <v>0</v>
      </c>
      <c r="GD37" s="21">
        <f t="shared" si="2303"/>
        <v>0</v>
      </c>
      <c r="GE37" s="19">
        <v>4250.0</v>
      </c>
      <c r="GF37" s="20">
        <v>0.0</v>
      </c>
      <c r="GG37" s="20">
        <v>4250.0</v>
      </c>
      <c r="GH37" s="21">
        <f>GG37</f>
        <v>4250</v>
      </c>
      <c r="GI37" s="19">
        <v>33250.0</v>
      </c>
      <c r="GJ37" s="20">
        <f t="shared" si="2103"/>
        <v>33250</v>
      </c>
      <c r="GK37" s="20">
        <f t="shared" ref="GK37:GL37" si="2304">GJ37</f>
        <v>33250</v>
      </c>
      <c r="GL37" s="20">
        <f t="shared" si="2304"/>
        <v>33250</v>
      </c>
      <c r="GM37" s="22">
        <v>0.0</v>
      </c>
      <c r="GN37" s="20">
        <f t="shared" ref="GN37:GP37" si="2305">GM37</f>
        <v>0</v>
      </c>
      <c r="GO37" s="20">
        <f t="shared" si="2305"/>
        <v>0</v>
      </c>
      <c r="GP37" s="21">
        <f t="shared" si="2305"/>
        <v>0</v>
      </c>
      <c r="GQ37" s="19">
        <v>0.0</v>
      </c>
      <c r="GR37" s="20">
        <f t="shared" si="2106"/>
        <v>0</v>
      </c>
      <c r="GS37" s="20">
        <f t="shared" ref="GS37:GT37" si="2306">GR37</f>
        <v>0</v>
      </c>
      <c r="GT37" s="21">
        <f t="shared" si="2306"/>
        <v>0</v>
      </c>
      <c r="GU37" s="19">
        <v>0.0</v>
      </c>
      <c r="GV37" s="20">
        <f t="shared" ref="GV37:GV40" si="2370">GU37</f>
        <v>0</v>
      </c>
      <c r="GW37" s="20">
        <v>5900.0</v>
      </c>
      <c r="GX37" s="21">
        <v>0.0</v>
      </c>
      <c r="GY37" s="19">
        <v>16341.6</v>
      </c>
      <c r="GZ37" s="20">
        <v>12864.0</v>
      </c>
      <c r="HA37" s="20">
        <f>GZ37+240</f>
        <v>13104</v>
      </c>
      <c r="HB37" s="21">
        <f>HA37</f>
        <v>13104</v>
      </c>
      <c r="HC37" s="19">
        <v>32500.0</v>
      </c>
      <c r="HD37" s="20">
        <v>18000.0</v>
      </c>
      <c r="HE37" s="20">
        <f>32500</f>
        <v>32500</v>
      </c>
      <c r="HF37" s="21">
        <f>HE37</f>
        <v>32500</v>
      </c>
      <c r="HG37" s="19">
        <v>0.0</v>
      </c>
      <c r="HH37" s="20">
        <f t="shared" si="2111"/>
        <v>0</v>
      </c>
      <c r="HI37" s="20">
        <f t="shared" ref="HI37:HJ37" si="2307">HH37</f>
        <v>0</v>
      </c>
      <c r="HJ37" s="21">
        <f t="shared" si="2307"/>
        <v>0</v>
      </c>
      <c r="HK37" s="19">
        <v>0.0</v>
      </c>
      <c r="HL37" s="20">
        <f t="shared" si="2113"/>
        <v>0</v>
      </c>
      <c r="HM37" s="20">
        <f t="shared" ref="HM37:HN37" si="2308">HL37</f>
        <v>0</v>
      </c>
      <c r="HN37" s="21">
        <f t="shared" si="2308"/>
        <v>0</v>
      </c>
      <c r="HO37" s="19">
        <v>29625.0</v>
      </c>
      <c r="HP37" s="20">
        <v>1000.0</v>
      </c>
      <c r="HQ37" s="20">
        <v>24000.0</v>
      </c>
      <c r="HR37" s="21">
        <f>HQ37</f>
        <v>24000</v>
      </c>
      <c r="HS37" s="19">
        <v>0.0</v>
      </c>
      <c r="HT37" s="20">
        <v>0.0</v>
      </c>
      <c r="HU37" s="20">
        <v>0.0</v>
      </c>
      <c r="HV37" s="21">
        <f>HU37</f>
        <v>0</v>
      </c>
      <c r="HW37" s="19">
        <v>0.0</v>
      </c>
      <c r="HX37" s="20">
        <f t="shared" si="2118"/>
        <v>0</v>
      </c>
      <c r="HY37" s="20">
        <f t="shared" ref="HY37:HZ37" si="2309">HX37</f>
        <v>0</v>
      </c>
      <c r="HZ37" s="21">
        <f t="shared" si="2309"/>
        <v>0</v>
      </c>
      <c r="IA37" s="19">
        <v>1200.0</v>
      </c>
      <c r="IB37" s="20">
        <f t="shared" si="1789"/>
        <v>1200</v>
      </c>
      <c r="IC37" s="20">
        <f t="shared" ref="IC37:ID37" si="2310">IB37</f>
        <v>1200</v>
      </c>
      <c r="ID37" s="21">
        <f t="shared" si="2310"/>
        <v>1200</v>
      </c>
      <c r="IE37" s="19">
        <v>1500.0</v>
      </c>
      <c r="IF37" s="20">
        <f t="shared" si="1929"/>
        <v>1500</v>
      </c>
      <c r="IG37" s="20">
        <f t="shared" ref="IG37:IH37" si="2311">IF37</f>
        <v>1500</v>
      </c>
      <c r="IH37" s="21">
        <f t="shared" si="2311"/>
        <v>1500</v>
      </c>
      <c r="II37" s="19">
        <v>7500.0</v>
      </c>
      <c r="IJ37" s="20">
        <f t="shared" si="2119"/>
        <v>7500</v>
      </c>
      <c r="IK37" s="20">
        <f>IJ37+1740</f>
        <v>9240</v>
      </c>
      <c r="IL37" s="21">
        <f>IK37</f>
        <v>9240</v>
      </c>
      <c r="IM37" s="19">
        <v>2300.0</v>
      </c>
      <c r="IN37" s="20">
        <f t="shared" si="2121"/>
        <v>2300</v>
      </c>
      <c r="IO37" s="20">
        <f t="shared" ref="IO37:IP37" si="2312">IN37</f>
        <v>2300</v>
      </c>
      <c r="IP37" s="21">
        <f t="shared" si="2312"/>
        <v>2300</v>
      </c>
      <c r="IQ37" s="19">
        <v>2000.0</v>
      </c>
      <c r="IR37" s="20">
        <f t="shared" si="2123"/>
        <v>2000</v>
      </c>
      <c r="IS37" s="20">
        <f t="shared" ref="IS37:IT37" si="2313">IR37</f>
        <v>2000</v>
      </c>
      <c r="IT37" s="21">
        <f t="shared" si="2313"/>
        <v>2000</v>
      </c>
      <c r="IU37" s="19">
        <v>16000.0</v>
      </c>
      <c r="IV37" s="20">
        <v>7300.0</v>
      </c>
      <c r="IW37" s="20">
        <f>IV37</f>
        <v>7300</v>
      </c>
      <c r="IX37" s="21">
        <v>5000.0</v>
      </c>
      <c r="IY37" s="19">
        <v>11650.0</v>
      </c>
      <c r="IZ37" s="20">
        <f t="shared" si="2126"/>
        <v>11650</v>
      </c>
      <c r="JA37" s="20">
        <f t="shared" ref="JA37:JB37" si="2314">IZ37</f>
        <v>11650</v>
      </c>
      <c r="JB37" s="21">
        <f t="shared" si="2314"/>
        <v>11650</v>
      </c>
      <c r="JC37" s="19">
        <v>5000.0</v>
      </c>
      <c r="JD37" s="20">
        <f t="shared" si="2128"/>
        <v>5000</v>
      </c>
      <c r="JE37" s="20">
        <f t="shared" ref="JE37:JF37" si="2315">JD37</f>
        <v>5000</v>
      </c>
      <c r="JF37" s="20">
        <f t="shared" si="2315"/>
        <v>5000</v>
      </c>
      <c r="JG37" s="19">
        <v>0.0</v>
      </c>
      <c r="JH37" s="20">
        <f t="shared" si="2130"/>
        <v>0</v>
      </c>
      <c r="JI37" s="20">
        <f t="shared" ref="JI37:JJ37" si="2316">JH37</f>
        <v>0</v>
      </c>
      <c r="JJ37" s="21">
        <f t="shared" si="2316"/>
        <v>0</v>
      </c>
      <c r="JK37" s="19">
        <v>400.0</v>
      </c>
      <c r="JL37" s="20">
        <f t="shared" ref="JL37:JN37" si="2317">JK37</f>
        <v>400</v>
      </c>
      <c r="JM37" s="20">
        <f t="shared" si="2317"/>
        <v>400</v>
      </c>
      <c r="JN37" s="21">
        <f t="shared" si="2317"/>
        <v>400</v>
      </c>
      <c r="JO37" s="19">
        <v>0.0</v>
      </c>
      <c r="JP37" s="20">
        <f t="shared" ref="JP37:JR37" si="2318">JO37</f>
        <v>0</v>
      </c>
      <c r="JQ37" s="20">
        <f t="shared" si="2318"/>
        <v>0</v>
      </c>
      <c r="JR37" s="21">
        <f t="shared" si="2318"/>
        <v>0</v>
      </c>
      <c r="JS37" s="19">
        <v>0.0</v>
      </c>
      <c r="JT37" s="20">
        <f t="shared" ref="JT37:JV37" si="2319">JS37</f>
        <v>0</v>
      </c>
      <c r="JU37" s="20">
        <f t="shared" si="2319"/>
        <v>0</v>
      </c>
      <c r="JV37" s="21">
        <f t="shared" si="2319"/>
        <v>0</v>
      </c>
      <c r="JW37" s="19">
        <v>53475.0</v>
      </c>
      <c r="JX37" s="20">
        <f t="shared" ref="JX37:JZ37" si="2320">JW37</f>
        <v>53475</v>
      </c>
      <c r="JY37" s="20">
        <f t="shared" si="2320"/>
        <v>53475</v>
      </c>
      <c r="JZ37" s="21">
        <f t="shared" si="2320"/>
        <v>53475</v>
      </c>
    </row>
    <row r="38" ht="15.75" customHeight="1">
      <c r="A38" s="24" t="s">
        <v>116</v>
      </c>
      <c r="B38" s="18"/>
      <c r="C38" s="19">
        <v>0.0</v>
      </c>
      <c r="D38" s="20">
        <f t="shared" ref="D38:F38" si="2321">C38</f>
        <v>0</v>
      </c>
      <c r="E38" s="20">
        <f t="shared" si="2321"/>
        <v>0</v>
      </c>
      <c r="F38" s="21">
        <f t="shared" si="2321"/>
        <v>0</v>
      </c>
      <c r="G38" s="19">
        <v>0.0</v>
      </c>
      <c r="H38" s="20">
        <f t="shared" ref="H38:J38" si="2322">G38</f>
        <v>0</v>
      </c>
      <c r="I38" s="20">
        <f t="shared" si="2322"/>
        <v>0</v>
      </c>
      <c r="J38" s="21">
        <f t="shared" si="2322"/>
        <v>0</v>
      </c>
      <c r="K38" s="19">
        <v>0.0</v>
      </c>
      <c r="L38" s="20">
        <f t="shared" ref="L38:N38" si="2323">K38</f>
        <v>0</v>
      </c>
      <c r="M38" s="20">
        <f t="shared" si="2323"/>
        <v>0</v>
      </c>
      <c r="N38" s="21">
        <f t="shared" si="2323"/>
        <v>0</v>
      </c>
      <c r="O38" s="19">
        <v>0.0</v>
      </c>
      <c r="P38" s="20">
        <f t="shared" ref="P38:R38" si="2324">O38</f>
        <v>0</v>
      </c>
      <c r="Q38" s="20">
        <f t="shared" si="2324"/>
        <v>0</v>
      </c>
      <c r="R38" s="21">
        <f t="shared" si="2324"/>
        <v>0</v>
      </c>
      <c r="S38" s="19">
        <v>0.0</v>
      </c>
      <c r="T38" s="20">
        <f t="shared" ref="T38:V38" si="2325">S38</f>
        <v>0</v>
      </c>
      <c r="U38" s="20">
        <f t="shared" si="2325"/>
        <v>0</v>
      </c>
      <c r="V38" s="21">
        <f t="shared" si="2325"/>
        <v>0</v>
      </c>
      <c r="W38" s="36">
        <v>0.0</v>
      </c>
      <c r="X38" s="20">
        <f t="shared" si="2046"/>
        <v>0</v>
      </c>
      <c r="Y38" s="20">
        <f t="shared" ref="Y38:Z38" si="2326">X38</f>
        <v>0</v>
      </c>
      <c r="Z38" s="21">
        <f t="shared" si="2326"/>
        <v>0</v>
      </c>
      <c r="AA38" s="19">
        <v>0.0</v>
      </c>
      <c r="AB38" s="20">
        <f t="shared" ref="AB38:AD38" si="2327">AA38</f>
        <v>0</v>
      </c>
      <c r="AC38" s="20">
        <f t="shared" si="2327"/>
        <v>0</v>
      </c>
      <c r="AD38" s="21">
        <f t="shared" si="2327"/>
        <v>0</v>
      </c>
      <c r="AE38" s="19">
        <v>0.0</v>
      </c>
      <c r="AF38" s="20">
        <f t="shared" ref="AF38:AH38" si="2328">AE38</f>
        <v>0</v>
      </c>
      <c r="AG38" s="20">
        <f t="shared" si="2328"/>
        <v>0</v>
      </c>
      <c r="AH38" s="21">
        <f t="shared" si="2328"/>
        <v>0</v>
      </c>
      <c r="AI38" s="19">
        <v>0.0</v>
      </c>
      <c r="AJ38" s="20">
        <f t="shared" ref="AJ38:AL38" si="2329">AI38</f>
        <v>0</v>
      </c>
      <c r="AK38" s="20">
        <f t="shared" si="2329"/>
        <v>0</v>
      </c>
      <c r="AL38" s="21">
        <f t="shared" si="2329"/>
        <v>0</v>
      </c>
      <c r="AM38" s="19">
        <v>0.0</v>
      </c>
      <c r="AN38" s="20">
        <f t="shared" ref="AN38:AP38" si="2330">AM38</f>
        <v>0</v>
      </c>
      <c r="AO38" s="20">
        <f t="shared" si="2330"/>
        <v>0</v>
      </c>
      <c r="AP38" s="21">
        <f t="shared" si="2330"/>
        <v>0</v>
      </c>
      <c r="AQ38" s="19">
        <v>0.0</v>
      </c>
      <c r="AR38" s="20">
        <f t="shared" ref="AR38:AT38" si="2331">AQ38</f>
        <v>0</v>
      </c>
      <c r="AS38" s="20">
        <f t="shared" si="2331"/>
        <v>0</v>
      </c>
      <c r="AT38" s="21">
        <f t="shared" si="2331"/>
        <v>0</v>
      </c>
      <c r="AU38" s="19">
        <v>0.0</v>
      </c>
      <c r="AV38" s="20">
        <f t="shared" ref="AV38:AX38" si="2332">AU38</f>
        <v>0</v>
      </c>
      <c r="AW38" s="20">
        <f t="shared" si="2332"/>
        <v>0</v>
      </c>
      <c r="AX38" s="21">
        <f t="shared" si="2332"/>
        <v>0</v>
      </c>
      <c r="AY38" s="19">
        <v>0.0</v>
      </c>
      <c r="AZ38" s="20">
        <f t="shared" si="2053"/>
        <v>0</v>
      </c>
      <c r="BA38" s="20">
        <f t="shared" ref="BA38:BB38" si="2333">AZ38</f>
        <v>0</v>
      </c>
      <c r="BB38" s="21">
        <f t="shared" si="2333"/>
        <v>0</v>
      </c>
      <c r="BC38" s="19">
        <v>0.0</v>
      </c>
      <c r="BD38" s="20">
        <f t="shared" ref="BD38:BF38" si="2334">BC38</f>
        <v>0</v>
      </c>
      <c r="BE38" s="20">
        <f t="shared" si="2334"/>
        <v>0</v>
      </c>
      <c r="BF38" s="21">
        <f t="shared" si="2334"/>
        <v>0</v>
      </c>
      <c r="BG38" s="19">
        <v>0.0</v>
      </c>
      <c r="BH38" s="20">
        <f t="shared" ref="BH38:BJ38" si="2335">BG38</f>
        <v>0</v>
      </c>
      <c r="BI38" s="20">
        <f t="shared" si="2335"/>
        <v>0</v>
      </c>
      <c r="BJ38" s="21">
        <f t="shared" si="2335"/>
        <v>0</v>
      </c>
      <c r="BK38" s="19">
        <v>0.0</v>
      </c>
      <c r="BL38" s="20">
        <f t="shared" ref="BL38:BN38" si="2336">BK38</f>
        <v>0</v>
      </c>
      <c r="BM38" s="20">
        <f t="shared" si="2336"/>
        <v>0</v>
      </c>
      <c r="BN38" s="21">
        <f t="shared" si="2336"/>
        <v>0</v>
      </c>
      <c r="BO38" s="19">
        <v>0.0</v>
      </c>
      <c r="BP38" s="20">
        <f t="shared" ref="BP38:BR38" si="2337">BO38</f>
        <v>0</v>
      </c>
      <c r="BQ38" s="20">
        <f t="shared" si="2337"/>
        <v>0</v>
      </c>
      <c r="BR38" s="21">
        <f t="shared" si="2337"/>
        <v>0</v>
      </c>
      <c r="BS38" s="19">
        <v>0.0</v>
      </c>
      <c r="BT38" s="20">
        <f t="shared" ref="BT38:BV38" si="2338">BS38</f>
        <v>0</v>
      </c>
      <c r="BU38" s="20">
        <f t="shared" si="2338"/>
        <v>0</v>
      </c>
      <c r="BV38" s="21">
        <f t="shared" si="2338"/>
        <v>0</v>
      </c>
      <c r="BW38" s="19">
        <v>36959.9</v>
      </c>
      <c r="BX38" s="20">
        <v>42780.0</v>
      </c>
      <c r="BY38" s="20">
        <f t="shared" ref="BY38:BZ38" si="2339">BX38</f>
        <v>42780</v>
      </c>
      <c r="BZ38" s="21">
        <f t="shared" si="2339"/>
        <v>42780</v>
      </c>
      <c r="CA38" s="19">
        <v>0.0</v>
      </c>
      <c r="CB38" s="20">
        <f t="shared" ref="CB38:CD38" si="2340">CA38</f>
        <v>0</v>
      </c>
      <c r="CC38" s="20">
        <f t="shared" si="2340"/>
        <v>0</v>
      </c>
      <c r="CD38" s="21">
        <f t="shared" si="2340"/>
        <v>0</v>
      </c>
      <c r="CE38" s="19">
        <v>0.0</v>
      </c>
      <c r="CF38" s="20">
        <f t="shared" ref="CF38:CH38" si="2341">CE38</f>
        <v>0</v>
      </c>
      <c r="CG38" s="20">
        <f t="shared" si="2341"/>
        <v>0</v>
      </c>
      <c r="CH38" s="21">
        <f t="shared" si="2341"/>
        <v>0</v>
      </c>
      <c r="CI38" s="19">
        <v>0.0</v>
      </c>
      <c r="CJ38" s="20">
        <f t="shared" ref="CJ38:CL38" si="2342">CI38</f>
        <v>0</v>
      </c>
      <c r="CK38" s="20">
        <f t="shared" si="2342"/>
        <v>0</v>
      </c>
      <c r="CL38" s="21">
        <f t="shared" si="2342"/>
        <v>0</v>
      </c>
      <c r="CM38" s="19">
        <v>0.0</v>
      </c>
      <c r="CN38" s="20">
        <f t="shared" ref="CN38:CP38" si="2343">CM38</f>
        <v>0</v>
      </c>
      <c r="CO38" s="20">
        <f t="shared" si="2343"/>
        <v>0</v>
      </c>
      <c r="CP38" s="21">
        <f t="shared" si="2343"/>
        <v>0</v>
      </c>
      <c r="CQ38" s="19">
        <v>0.0</v>
      </c>
      <c r="CR38" s="20">
        <f t="shared" ref="CR38:CT38" si="2344">CQ38</f>
        <v>0</v>
      </c>
      <c r="CS38" s="20">
        <f t="shared" si="2344"/>
        <v>0</v>
      </c>
      <c r="CT38" s="21">
        <f t="shared" si="2344"/>
        <v>0</v>
      </c>
      <c r="CU38" s="19">
        <v>0.0</v>
      </c>
      <c r="CV38" s="20">
        <f t="shared" ref="CV38:CX38" si="2345">CU38</f>
        <v>0</v>
      </c>
      <c r="CW38" s="20">
        <f t="shared" si="2345"/>
        <v>0</v>
      </c>
      <c r="CX38" s="21">
        <f t="shared" si="2345"/>
        <v>0</v>
      </c>
      <c r="CY38" s="19">
        <v>0.0</v>
      </c>
      <c r="CZ38" s="20">
        <f t="shared" ref="CZ38:DB38" si="2346">CY38</f>
        <v>0</v>
      </c>
      <c r="DA38" s="20">
        <f t="shared" si="2346"/>
        <v>0</v>
      </c>
      <c r="DB38" s="21">
        <f t="shared" si="2346"/>
        <v>0</v>
      </c>
      <c r="DC38" s="19">
        <v>0.0</v>
      </c>
      <c r="DD38" s="20">
        <f t="shared" si="2072"/>
        <v>0</v>
      </c>
      <c r="DE38" s="20">
        <f t="shared" ref="DE38:DF38" si="2347">DD38</f>
        <v>0</v>
      </c>
      <c r="DF38" s="21">
        <f t="shared" si="2347"/>
        <v>0</v>
      </c>
      <c r="DG38" s="19">
        <v>150000.0</v>
      </c>
      <c r="DH38" s="20">
        <f t="shared" si="2074"/>
        <v>150000</v>
      </c>
      <c r="DI38" s="20">
        <f t="shared" ref="DI38:DJ38" si="2348">DH38</f>
        <v>150000</v>
      </c>
      <c r="DJ38" s="21">
        <f t="shared" si="2348"/>
        <v>150000</v>
      </c>
      <c r="DK38" s="19">
        <v>0.0</v>
      </c>
      <c r="DL38" s="20">
        <f t="shared" si="2076"/>
        <v>0</v>
      </c>
      <c r="DM38" s="20">
        <f t="shared" ref="DM38:DN38" si="2349">DL38</f>
        <v>0</v>
      </c>
      <c r="DN38" s="21">
        <f t="shared" si="2349"/>
        <v>0</v>
      </c>
      <c r="DO38" s="19">
        <v>0.0</v>
      </c>
      <c r="DP38" s="20">
        <f t="shared" ref="DP38:DR38" si="2350">DO38</f>
        <v>0</v>
      </c>
      <c r="DQ38" s="20">
        <f t="shared" si="2350"/>
        <v>0</v>
      </c>
      <c r="DR38" s="21">
        <f t="shared" si="2350"/>
        <v>0</v>
      </c>
      <c r="DS38" s="19">
        <v>0.0</v>
      </c>
      <c r="DT38" s="20">
        <f t="shared" ref="DT38:DV38" si="2351">DS38</f>
        <v>0</v>
      </c>
      <c r="DU38" s="20">
        <f t="shared" si="2351"/>
        <v>0</v>
      </c>
      <c r="DV38" s="21">
        <f t="shared" si="2351"/>
        <v>0</v>
      </c>
      <c r="DW38" s="19">
        <v>0.0</v>
      </c>
      <c r="DX38" s="20">
        <f t="shared" ref="DX38:DZ38" si="2352">DW38</f>
        <v>0</v>
      </c>
      <c r="DY38" s="20">
        <f t="shared" si="2352"/>
        <v>0</v>
      </c>
      <c r="DZ38" s="21">
        <f t="shared" si="2352"/>
        <v>0</v>
      </c>
      <c r="EA38" s="19">
        <v>0.0</v>
      </c>
      <c r="EB38" s="20">
        <f t="shared" ref="EB38:ED38" si="2353">EA38</f>
        <v>0</v>
      </c>
      <c r="EC38" s="20">
        <f t="shared" si="2353"/>
        <v>0</v>
      </c>
      <c r="ED38" s="21">
        <f t="shared" si="2353"/>
        <v>0</v>
      </c>
      <c r="EE38" s="19">
        <v>10000.0</v>
      </c>
      <c r="EF38" s="20">
        <f t="shared" ref="EF38:EH38" si="2354">EE38</f>
        <v>10000</v>
      </c>
      <c r="EG38" s="20">
        <f t="shared" si="2354"/>
        <v>10000</v>
      </c>
      <c r="EH38" s="21">
        <f t="shared" si="2354"/>
        <v>10000</v>
      </c>
      <c r="EI38" s="19">
        <v>0.0</v>
      </c>
      <c r="EJ38" s="21">
        <f t="shared" ref="EJ38:EK38" si="2355">EI38</f>
        <v>0</v>
      </c>
      <c r="EK38" s="21">
        <f t="shared" si="2355"/>
        <v>0</v>
      </c>
      <c r="EL38" s="21">
        <f t="shared" si="797"/>
        <v>0</v>
      </c>
      <c r="EM38" s="19">
        <v>5000.0</v>
      </c>
      <c r="EN38" s="20">
        <f t="shared" ref="EN38:EP38" si="2356">EM38</f>
        <v>5000</v>
      </c>
      <c r="EO38" s="20">
        <f t="shared" si="2356"/>
        <v>5000</v>
      </c>
      <c r="EP38" s="21">
        <f t="shared" si="2356"/>
        <v>5000</v>
      </c>
      <c r="EQ38" s="19">
        <v>0.0</v>
      </c>
      <c r="ER38" s="20">
        <f t="shared" ref="ER38:ET38" si="2357">EQ38</f>
        <v>0</v>
      </c>
      <c r="ES38" s="20">
        <f t="shared" si="2357"/>
        <v>0</v>
      </c>
      <c r="ET38" s="21">
        <f t="shared" si="2357"/>
        <v>0</v>
      </c>
      <c r="EU38" s="19">
        <v>0.0</v>
      </c>
      <c r="EV38" s="20">
        <f t="shared" ref="EV38:EX38" si="2358">EU38</f>
        <v>0</v>
      </c>
      <c r="EW38" s="20">
        <f t="shared" si="2358"/>
        <v>0</v>
      </c>
      <c r="EX38" s="21">
        <f t="shared" si="2358"/>
        <v>0</v>
      </c>
      <c r="EY38" s="19">
        <v>0.0</v>
      </c>
      <c r="EZ38" s="20">
        <f t="shared" ref="EZ38:FB38" si="2359">EY38</f>
        <v>0</v>
      </c>
      <c r="FA38" s="20">
        <f t="shared" si="2359"/>
        <v>0</v>
      </c>
      <c r="FB38" s="21">
        <f t="shared" si="2359"/>
        <v>0</v>
      </c>
      <c r="FC38" s="19">
        <v>0.0</v>
      </c>
      <c r="FD38" s="20">
        <f t="shared" ref="FD38:FF38" si="2360">FC38</f>
        <v>0</v>
      </c>
      <c r="FE38" s="20">
        <f t="shared" si="2360"/>
        <v>0</v>
      </c>
      <c r="FF38" s="21">
        <f t="shared" si="2360"/>
        <v>0</v>
      </c>
      <c r="FG38" s="19">
        <v>0.0</v>
      </c>
      <c r="FH38" s="20">
        <f t="shared" si="2092"/>
        <v>0</v>
      </c>
      <c r="FI38" s="20">
        <f t="shared" ref="FI38:FJ38" si="2361">FH38</f>
        <v>0</v>
      </c>
      <c r="FJ38" s="21">
        <f t="shared" si="2361"/>
        <v>0</v>
      </c>
      <c r="FK38" s="19">
        <v>0.0</v>
      </c>
      <c r="FL38" s="20">
        <f t="shared" si="2094"/>
        <v>0</v>
      </c>
      <c r="FM38" s="20">
        <f t="shared" ref="FM38:FN38" si="2362">FL38</f>
        <v>0</v>
      </c>
      <c r="FN38" s="21">
        <f t="shared" si="2362"/>
        <v>0</v>
      </c>
      <c r="FO38" s="19">
        <v>0.0</v>
      </c>
      <c r="FP38" s="20">
        <f t="shared" ref="FP38:FR38" si="2363">FO38</f>
        <v>0</v>
      </c>
      <c r="FQ38" s="20">
        <f t="shared" si="2363"/>
        <v>0</v>
      </c>
      <c r="FR38" s="21">
        <f t="shared" si="2363"/>
        <v>0</v>
      </c>
      <c r="FS38" s="19">
        <v>0.0</v>
      </c>
      <c r="FT38" s="20">
        <f t="shared" ref="FT38:FV38" si="2364">FS38</f>
        <v>0</v>
      </c>
      <c r="FU38" s="20">
        <f t="shared" si="2364"/>
        <v>0</v>
      </c>
      <c r="FV38" s="21">
        <f t="shared" si="2364"/>
        <v>0</v>
      </c>
      <c r="FW38" s="19">
        <v>0.0</v>
      </c>
      <c r="FX38" s="20">
        <f t="shared" ref="FX38:FX41" si="2431">FW38</f>
        <v>0</v>
      </c>
      <c r="FY38" s="20">
        <v>10000.0</v>
      </c>
      <c r="FZ38" s="21">
        <f>FY38</f>
        <v>10000</v>
      </c>
      <c r="GA38" s="19">
        <v>0.0</v>
      </c>
      <c r="GB38" s="20">
        <f t="shared" si="1286"/>
        <v>0</v>
      </c>
      <c r="GC38" s="20">
        <f t="shared" ref="GC38:GD38" si="2365">GB38</f>
        <v>0</v>
      </c>
      <c r="GD38" s="21">
        <f t="shared" si="2365"/>
        <v>0</v>
      </c>
      <c r="GE38" s="19">
        <v>0.0</v>
      </c>
      <c r="GF38" s="20">
        <f t="shared" ref="GF38:GH38" si="2366">GE38</f>
        <v>0</v>
      </c>
      <c r="GG38" s="20">
        <f t="shared" si="2366"/>
        <v>0</v>
      </c>
      <c r="GH38" s="21">
        <f t="shared" si="2366"/>
        <v>0</v>
      </c>
      <c r="GI38" s="19">
        <v>0.0</v>
      </c>
      <c r="GJ38" s="20">
        <f t="shared" si="2103"/>
        <v>0</v>
      </c>
      <c r="GK38" s="20">
        <f t="shared" ref="GK38:GL38" si="2367">GJ38</f>
        <v>0</v>
      </c>
      <c r="GL38" s="20">
        <f t="shared" si="2367"/>
        <v>0</v>
      </c>
      <c r="GM38" s="22">
        <v>0.0</v>
      </c>
      <c r="GN38" s="20">
        <f t="shared" ref="GN38:GP38" si="2368">GM38</f>
        <v>0</v>
      </c>
      <c r="GO38" s="20">
        <f t="shared" si="2368"/>
        <v>0</v>
      </c>
      <c r="GP38" s="21">
        <f t="shared" si="2368"/>
        <v>0</v>
      </c>
      <c r="GQ38" s="19">
        <v>0.0</v>
      </c>
      <c r="GR38" s="20">
        <f t="shared" si="2106"/>
        <v>0</v>
      </c>
      <c r="GS38" s="20">
        <f t="shared" ref="GS38:GT38" si="2369">GR38</f>
        <v>0</v>
      </c>
      <c r="GT38" s="21">
        <f t="shared" si="2369"/>
        <v>0</v>
      </c>
      <c r="GU38" s="19">
        <v>0.0</v>
      </c>
      <c r="GV38" s="20">
        <f t="shared" si="2370"/>
        <v>0</v>
      </c>
      <c r="GW38" s="20">
        <f t="shared" ref="GW38:GX38" si="2371">GV38</f>
        <v>0</v>
      </c>
      <c r="GX38" s="21">
        <f t="shared" si="2371"/>
        <v>0</v>
      </c>
      <c r="GY38" s="19">
        <v>0.0</v>
      </c>
      <c r="GZ38" s="20">
        <f t="shared" ref="GZ38:HB38" si="2372">GY38</f>
        <v>0</v>
      </c>
      <c r="HA38" s="20">
        <f t="shared" si="2372"/>
        <v>0</v>
      </c>
      <c r="HB38" s="21">
        <f t="shared" si="2372"/>
        <v>0</v>
      </c>
      <c r="HC38" s="19">
        <v>0.0</v>
      </c>
      <c r="HD38" s="20">
        <f t="shared" ref="HD38:HF38" si="2373">HC38</f>
        <v>0</v>
      </c>
      <c r="HE38" s="20">
        <f t="shared" si="2373"/>
        <v>0</v>
      </c>
      <c r="HF38" s="21">
        <f t="shared" si="2373"/>
        <v>0</v>
      </c>
      <c r="HG38" s="19">
        <v>0.0</v>
      </c>
      <c r="HH38" s="20">
        <f t="shared" si="2111"/>
        <v>0</v>
      </c>
      <c r="HI38" s="20">
        <f t="shared" ref="HI38:HJ38" si="2374">HH38</f>
        <v>0</v>
      </c>
      <c r="HJ38" s="21">
        <f t="shared" si="2374"/>
        <v>0</v>
      </c>
      <c r="HK38" s="19">
        <v>0.0</v>
      </c>
      <c r="HL38" s="20">
        <f t="shared" si="2113"/>
        <v>0</v>
      </c>
      <c r="HM38" s="20">
        <f t="shared" ref="HM38:HN38" si="2375">HL38</f>
        <v>0</v>
      </c>
      <c r="HN38" s="21">
        <f t="shared" si="2375"/>
        <v>0</v>
      </c>
      <c r="HO38" s="19">
        <v>0.0</v>
      </c>
      <c r="HP38" s="20">
        <f t="shared" ref="HP38:HR38" si="2376">HO38</f>
        <v>0</v>
      </c>
      <c r="HQ38" s="20">
        <f t="shared" si="2376"/>
        <v>0</v>
      </c>
      <c r="HR38" s="21">
        <f t="shared" si="2376"/>
        <v>0</v>
      </c>
      <c r="HS38" s="19">
        <v>0.0</v>
      </c>
      <c r="HT38" s="20">
        <f t="shared" ref="HT38:HV38" si="2377">HS38</f>
        <v>0</v>
      </c>
      <c r="HU38" s="20">
        <f t="shared" si="2377"/>
        <v>0</v>
      </c>
      <c r="HV38" s="21">
        <f t="shared" si="2377"/>
        <v>0</v>
      </c>
      <c r="HW38" s="19">
        <v>0.0</v>
      </c>
      <c r="HX38" s="20">
        <f t="shared" si="2118"/>
        <v>0</v>
      </c>
      <c r="HY38" s="20">
        <f t="shared" ref="HY38:HZ38" si="2378">HX38</f>
        <v>0</v>
      </c>
      <c r="HZ38" s="21">
        <f t="shared" si="2378"/>
        <v>0</v>
      </c>
      <c r="IA38" s="19">
        <v>0.0</v>
      </c>
      <c r="IB38" s="20">
        <f t="shared" si="1789"/>
        <v>0</v>
      </c>
      <c r="IC38" s="20">
        <f t="shared" ref="IC38:ID38" si="2379">IB38</f>
        <v>0</v>
      </c>
      <c r="ID38" s="21">
        <f t="shared" si="2379"/>
        <v>0</v>
      </c>
      <c r="IE38" s="19">
        <v>0.0</v>
      </c>
      <c r="IF38" s="20">
        <f t="shared" si="1929"/>
        <v>0</v>
      </c>
      <c r="IG38" s="20">
        <f t="shared" ref="IG38:IH38" si="2380">IF38</f>
        <v>0</v>
      </c>
      <c r="IH38" s="21">
        <f t="shared" si="2380"/>
        <v>0</v>
      </c>
      <c r="II38" s="19">
        <v>0.0</v>
      </c>
      <c r="IJ38" s="20">
        <f t="shared" si="2119"/>
        <v>0</v>
      </c>
      <c r="IK38" s="20">
        <f t="shared" ref="IK38:IL38" si="2381">IJ38</f>
        <v>0</v>
      </c>
      <c r="IL38" s="21">
        <f t="shared" si="2381"/>
        <v>0</v>
      </c>
      <c r="IM38" s="19">
        <v>0.0</v>
      </c>
      <c r="IN38" s="20">
        <f t="shared" si="2121"/>
        <v>0</v>
      </c>
      <c r="IO38" s="20">
        <f t="shared" ref="IO38:IP38" si="2382">IN38</f>
        <v>0</v>
      </c>
      <c r="IP38" s="21">
        <f t="shared" si="2382"/>
        <v>0</v>
      </c>
      <c r="IQ38" s="19">
        <v>0.0</v>
      </c>
      <c r="IR38" s="20">
        <f t="shared" si="2123"/>
        <v>0</v>
      </c>
      <c r="IS38" s="20">
        <f t="shared" ref="IS38:IT38" si="2383">IR38</f>
        <v>0</v>
      </c>
      <c r="IT38" s="21">
        <f t="shared" si="2383"/>
        <v>0</v>
      </c>
      <c r="IU38" s="19">
        <v>0.0</v>
      </c>
      <c r="IV38" s="20">
        <f t="shared" ref="IV38:IX38" si="2384">IU38</f>
        <v>0</v>
      </c>
      <c r="IW38" s="20">
        <f t="shared" si="2384"/>
        <v>0</v>
      </c>
      <c r="IX38" s="21">
        <f t="shared" si="2384"/>
        <v>0</v>
      </c>
      <c r="IY38" s="19">
        <v>0.0</v>
      </c>
      <c r="IZ38" s="20">
        <f t="shared" si="2126"/>
        <v>0</v>
      </c>
      <c r="JA38" s="20">
        <f t="shared" ref="JA38:JB38" si="2385">IZ38</f>
        <v>0</v>
      </c>
      <c r="JB38" s="21">
        <f t="shared" si="2385"/>
        <v>0</v>
      </c>
      <c r="JC38" s="19">
        <v>0.0</v>
      </c>
      <c r="JD38" s="20">
        <f t="shared" si="2128"/>
        <v>0</v>
      </c>
      <c r="JE38" s="20">
        <f t="shared" ref="JE38:JF38" si="2386">JD38</f>
        <v>0</v>
      </c>
      <c r="JF38" s="20">
        <f t="shared" si="2386"/>
        <v>0</v>
      </c>
      <c r="JG38" s="19">
        <v>0.0</v>
      </c>
      <c r="JH38" s="20">
        <f t="shared" si="2130"/>
        <v>0</v>
      </c>
      <c r="JI38" s="20">
        <f t="shared" ref="JI38:JJ38" si="2387">JH38</f>
        <v>0</v>
      </c>
      <c r="JJ38" s="21">
        <f t="shared" si="2387"/>
        <v>0</v>
      </c>
      <c r="JK38" s="19">
        <v>0.0</v>
      </c>
      <c r="JL38" s="20">
        <f t="shared" ref="JL38:JN38" si="2388">JK38</f>
        <v>0</v>
      </c>
      <c r="JM38" s="20">
        <f t="shared" si="2388"/>
        <v>0</v>
      </c>
      <c r="JN38" s="21">
        <f t="shared" si="2388"/>
        <v>0</v>
      </c>
      <c r="JO38" s="19">
        <v>0.0</v>
      </c>
      <c r="JP38" s="20">
        <f t="shared" ref="JP38:JR38" si="2389">JO38</f>
        <v>0</v>
      </c>
      <c r="JQ38" s="20">
        <f t="shared" si="2389"/>
        <v>0</v>
      </c>
      <c r="JR38" s="21">
        <f t="shared" si="2389"/>
        <v>0</v>
      </c>
      <c r="JS38" s="19">
        <v>0.0</v>
      </c>
      <c r="JT38" s="20">
        <f t="shared" ref="JT38:JV38" si="2390">JS38</f>
        <v>0</v>
      </c>
      <c r="JU38" s="20">
        <f t="shared" si="2390"/>
        <v>0</v>
      </c>
      <c r="JV38" s="21">
        <f t="shared" si="2390"/>
        <v>0</v>
      </c>
      <c r="JW38" s="19">
        <v>0.0</v>
      </c>
      <c r="JX38" s="20">
        <f t="shared" ref="JX38:JZ38" si="2391">JW38</f>
        <v>0</v>
      </c>
      <c r="JY38" s="20">
        <f t="shared" si="2391"/>
        <v>0</v>
      </c>
      <c r="JZ38" s="21">
        <f t="shared" si="2391"/>
        <v>0</v>
      </c>
    </row>
    <row r="39" ht="15.75" customHeight="1">
      <c r="A39" s="24" t="s">
        <v>117</v>
      </c>
      <c r="B39" s="18"/>
      <c r="C39" s="19">
        <v>50000.0</v>
      </c>
      <c r="D39" s="20">
        <f t="shared" ref="D39:F39" si="2392">C39</f>
        <v>50000</v>
      </c>
      <c r="E39" s="20">
        <f t="shared" si="2392"/>
        <v>50000</v>
      </c>
      <c r="F39" s="21">
        <f t="shared" si="2392"/>
        <v>50000</v>
      </c>
      <c r="G39" s="19">
        <v>0.0</v>
      </c>
      <c r="H39" s="20">
        <f t="shared" ref="H39:J39" si="2393">G39</f>
        <v>0</v>
      </c>
      <c r="I39" s="20">
        <f t="shared" si="2393"/>
        <v>0</v>
      </c>
      <c r="J39" s="21">
        <f t="shared" si="2393"/>
        <v>0</v>
      </c>
      <c r="K39" s="19">
        <v>0.0</v>
      </c>
      <c r="L39" s="20">
        <f t="shared" ref="L39:N39" si="2394">K39</f>
        <v>0</v>
      </c>
      <c r="M39" s="20">
        <f t="shared" si="2394"/>
        <v>0</v>
      </c>
      <c r="N39" s="21">
        <f t="shared" si="2394"/>
        <v>0</v>
      </c>
      <c r="O39" s="19">
        <v>0.0</v>
      </c>
      <c r="P39" s="20">
        <f t="shared" ref="P39:R39" si="2395">O39</f>
        <v>0</v>
      </c>
      <c r="Q39" s="20">
        <f t="shared" si="2395"/>
        <v>0</v>
      </c>
      <c r="R39" s="21">
        <f t="shared" si="2395"/>
        <v>0</v>
      </c>
      <c r="S39" s="19">
        <v>0.0</v>
      </c>
      <c r="T39" s="20">
        <f t="shared" ref="T39:V39" si="2396">S39</f>
        <v>0</v>
      </c>
      <c r="U39" s="20">
        <f t="shared" si="2396"/>
        <v>0</v>
      </c>
      <c r="V39" s="21">
        <f t="shared" si="2396"/>
        <v>0</v>
      </c>
      <c r="W39" s="36">
        <v>0.0</v>
      </c>
      <c r="X39" s="20">
        <f t="shared" si="2046"/>
        <v>0</v>
      </c>
      <c r="Y39" s="20">
        <f t="shared" ref="Y39:Z39" si="2397">X39</f>
        <v>0</v>
      </c>
      <c r="Z39" s="21">
        <f t="shared" si="2397"/>
        <v>0</v>
      </c>
      <c r="AA39" s="19">
        <v>0.0</v>
      </c>
      <c r="AB39" s="20">
        <f t="shared" ref="AB39:AD39" si="2398">AA39</f>
        <v>0</v>
      </c>
      <c r="AC39" s="20">
        <f t="shared" si="2398"/>
        <v>0</v>
      </c>
      <c r="AD39" s="21">
        <f t="shared" si="2398"/>
        <v>0</v>
      </c>
      <c r="AE39" s="19">
        <v>0.0</v>
      </c>
      <c r="AF39" s="20">
        <f t="shared" ref="AF39:AH39" si="2399">AE39</f>
        <v>0</v>
      </c>
      <c r="AG39" s="20">
        <f t="shared" si="2399"/>
        <v>0</v>
      </c>
      <c r="AH39" s="21">
        <f t="shared" si="2399"/>
        <v>0</v>
      </c>
      <c r="AI39" s="19">
        <v>0.0</v>
      </c>
      <c r="AJ39" s="20">
        <f t="shared" ref="AJ39:AL39" si="2400">AI39</f>
        <v>0</v>
      </c>
      <c r="AK39" s="20">
        <f t="shared" si="2400"/>
        <v>0</v>
      </c>
      <c r="AL39" s="21">
        <f t="shared" si="2400"/>
        <v>0</v>
      </c>
      <c r="AM39" s="19">
        <v>0.0</v>
      </c>
      <c r="AN39" s="20">
        <f t="shared" ref="AN39:AP39" si="2401">AM39</f>
        <v>0</v>
      </c>
      <c r="AO39" s="20">
        <f t="shared" si="2401"/>
        <v>0</v>
      </c>
      <c r="AP39" s="21">
        <f t="shared" si="2401"/>
        <v>0</v>
      </c>
      <c r="AQ39" s="19">
        <v>0.0</v>
      </c>
      <c r="AR39" s="20">
        <f t="shared" ref="AR39:AT39" si="2402">AQ39</f>
        <v>0</v>
      </c>
      <c r="AS39" s="20">
        <f t="shared" si="2402"/>
        <v>0</v>
      </c>
      <c r="AT39" s="21">
        <f t="shared" si="2402"/>
        <v>0</v>
      </c>
      <c r="AU39" s="19">
        <v>0.0</v>
      </c>
      <c r="AV39" s="20">
        <f t="shared" ref="AV39:AX39" si="2403">AU39</f>
        <v>0</v>
      </c>
      <c r="AW39" s="20">
        <f t="shared" si="2403"/>
        <v>0</v>
      </c>
      <c r="AX39" s="21">
        <f t="shared" si="2403"/>
        <v>0</v>
      </c>
      <c r="AY39" s="19">
        <v>0.0</v>
      </c>
      <c r="AZ39" s="20">
        <f t="shared" si="2053"/>
        <v>0</v>
      </c>
      <c r="BA39" s="20">
        <f t="shared" ref="BA39:BB39" si="2404">AZ39</f>
        <v>0</v>
      </c>
      <c r="BB39" s="21">
        <f t="shared" si="2404"/>
        <v>0</v>
      </c>
      <c r="BC39" s="19">
        <v>0.0</v>
      </c>
      <c r="BD39" s="20">
        <f t="shared" ref="BD39:BF39" si="2405">BC39</f>
        <v>0</v>
      </c>
      <c r="BE39" s="20">
        <f t="shared" si="2405"/>
        <v>0</v>
      </c>
      <c r="BF39" s="21">
        <f t="shared" si="2405"/>
        <v>0</v>
      </c>
      <c r="BG39" s="19">
        <v>0.0</v>
      </c>
      <c r="BH39" s="20">
        <f t="shared" ref="BH39:BJ39" si="2406">BG39</f>
        <v>0</v>
      </c>
      <c r="BI39" s="20">
        <f t="shared" si="2406"/>
        <v>0</v>
      </c>
      <c r="BJ39" s="21">
        <f t="shared" si="2406"/>
        <v>0</v>
      </c>
      <c r="BK39" s="19">
        <v>0.0</v>
      </c>
      <c r="BL39" s="20">
        <f t="shared" ref="BL39:BN39" si="2407">BK39</f>
        <v>0</v>
      </c>
      <c r="BM39" s="20">
        <f t="shared" si="2407"/>
        <v>0</v>
      </c>
      <c r="BN39" s="21">
        <f t="shared" si="2407"/>
        <v>0</v>
      </c>
      <c r="BO39" s="19">
        <v>0.0</v>
      </c>
      <c r="BP39" s="20">
        <f t="shared" ref="BP39:BR39" si="2408">BO39</f>
        <v>0</v>
      </c>
      <c r="BQ39" s="20">
        <f t="shared" si="2408"/>
        <v>0</v>
      </c>
      <c r="BR39" s="21">
        <f t="shared" si="2408"/>
        <v>0</v>
      </c>
      <c r="BS39" s="19">
        <v>0.0</v>
      </c>
      <c r="BT39" s="20">
        <f t="shared" ref="BT39:BV39" si="2409">BS39</f>
        <v>0</v>
      </c>
      <c r="BU39" s="20">
        <f t="shared" si="2409"/>
        <v>0</v>
      </c>
      <c r="BV39" s="21">
        <f t="shared" si="2409"/>
        <v>0</v>
      </c>
      <c r="BW39" s="19">
        <v>0.0</v>
      </c>
      <c r="BX39" s="20">
        <f t="shared" ref="BX39:BZ39" si="2410">BW39</f>
        <v>0</v>
      </c>
      <c r="BY39" s="20">
        <f t="shared" si="2410"/>
        <v>0</v>
      </c>
      <c r="BZ39" s="21">
        <f t="shared" si="2410"/>
        <v>0</v>
      </c>
      <c r="CA39" s="19">
        <v>10000.0</v>
      </c>
      <c r="CB39" s="20">
        <f t="shared" ref="CB39:CD39" si="2411">CA39</f>
        <v>10000</v>
      </c>
      <c r="CC39" s="20">
        <f t="shared" si="2411"/>
        <v>10000</v>
      </c>
      <c r="CD39" s="21">
        <f t="shared" si="2411"/>
        <v>10000</v>
      </c>
      <c r="CE39" s="19">
        <v>0.0</v>
      </c>
      <c r="CF39" s="20">
        <f t="shared" ref="CF39:CH39" si="2412">CE39</f>
        <v>0</v>
      </c>
      <c r="CG39" s="20">
        <f t="shared" si="2412"/>
        <v>0</v>
      </c>
      <c r="CH39" s="21">
        <f t="shared" si="2412"/>
        <v>0</v>
      </c>
      <c r="CI39" s="19">
        <v>212610.0</v>
      </c>
      <c r="CJ39" s="20">
        <v>212610.0</v>
      </c>
      <c r="CK39" s="20">
        <f t="shared" ref="CK39:CL39" si="2413">CJ39</f>
        <v>212610</v>
      </c>
      <c r="CL39" s="21">
        <f t="shared" si="2413"/>
        <v>212610</v>
      </c>
      <c r="CM39" s="19">
        <v>0.0</v>
      </c>
      <c r="CN39" s="20">
        <f t="shared" ref="CN39:CP39" si="2414">CM39</f>
        <v>0</v>
      </c>
      <c r="CO39" s="20">
        <f t="shared" si="2414"/>
        <v>0</v>
      </c>
      <c r="CP39" s="21">
        <f t="shared" si="2414"/>
        <v>0</v>
      </c>
      <c r="CQ39" s="19">
        <v>0.0</v>
      </c>
      <c r="CR39" s="20">
        <f t="shared" ref="CR39:CT39" si="2415">CQ39</f>
        <v>0</v>
      </c>
      <c r="CS39" s="20">
        <f t="shared" si="2415"/>
        <v>0</v>
      </c>
      <c r="CT39" s="21">
        <f t="shared" si="2415"/>
        <v>0</v>
      </c>
      <c r="CU39" s="19">
        <v>1850.0</v>
      </c>
      <c r="CV39" s="20">
        <f t="shared" ref="CV39:CV40" si="2480">CU39</f>
        <v>1850</v>
      </c>
      <c r="CW39" s="20">
        <v>1466.0</v>
      </c>
      <c r="CX39" s="21">
        <f>CW39</f>
        <v>1466</v>
      </c>
      <c r="CY39" s="19">
        <v>0.0</v>
      </c>
      <c r="CZ39" s="20">
        <f t="shared" ref="CZ39:DB39" si="2416">CY39</f>
        <v>0</v>
      </c>
      <c r="DA39" s="20">
        <f t="shared" si="2416"/>
        <v>0</v>
      </c>
      <c r="DB39" s="21">
        <f t="shared" si="2416"/>
        <v>0</v>
      </c>
      <c r="DC39" s="19">
        <v>59079.15</v>
      </c>
      <c r="DD39" s="20">
        <f>45600-1722</f>
        <v>43878</v>
      </c>
      <c r="DE39" s="20">
        <f>55600-1722</f>
        <v>53878</v>
      </c>
      <c r="DF39" s="21">
        <f>DE39</f>
        <v>53878</v>
      </c>
      <c r="DG39" s="19">
        <v>0.0</v>
      </c>
      <c r="DH39" s="20">
        <f t="shared" si="2074"/>
        <v>0</v>
      </c>
      <c r="DI39" s="20">
        <f t="shared" ref="DI39:DJ39" si="2417">DH39</f>
        <v>0</v>
      </c>
      <c r="DJ39" s="21">
        <f t="shared" si="2417"/>
        <v>0</v>
      </c>
      <c r="DK39" s="19">
        <v>0.0</v>
      </c>
      <c r="DL39" s="20">
        <f t="shared" si="2076"/>
        <v>0</v>
      </c>
      <c r="DM39" s="20">
        <f t="shared" ref="DM39:DN39" si="2418">DL39</f>
        <v>0</v>
      </c>
      <c r="DN39" s="21">
        <f t="shared" si="2418"/>
        <v>0</v>
      </c>
      <c r="DO39" s="19">
        <v>0.0</v>
      </c>
      <c r="DP39" s="20">
        <f t="shared" ref="DP39:DR39" si="2419">DO39</f>
        <v>0</v>
      </c>
      <c r="DQ39" s="20">
        <f t="shared" si="2419"/>
        <v>0</v>
      </c>
      <c r="DR39" s="21">
        <f t="shared" si="2419"/>
        <v>0</v>
      </c>
      <c r="DS39" s="19">
        <v>0.0</v>
      </c>
      <c r="DT39" s="20">
        <f t="shared" ref="DT39:DV39" si="2420">DS39</f>
        <v>0</v>
      </c>
      <c r="DU39" s="20">
        <f t="shared" si="2420"/>
        <v>0</v>
      </c>
      <c r="DV39" s="21">
        <f t="shared" si="2420"/>
        <v>0</v>
      </c>
      <c r="DW39" s="19">
        <v>15000.0</v>
      </c>
      <c r="DX39" s="20">
        <f t="shared" ref="DX39:DX40" si="2488">DW39</f>
        <v>15000</v>
      </c>
      <c r="DY39" s="20">
        <v>6000.0</v>
      </c>
      <c r="DZ39" s="21">
        <v>15000.0</v>
      </c>
      <c r="EA39" s="19">
        <v>0.0</v>
      </c>
      <c r="EB39" s="20">
        <f t="shared" ref="EB39:ED39" si="2421">EA39</f>
        <v>0</v>
      </c>
      <c r="EC39" s="20">
        <f t="shared" si="2421"/>
        <v>0</v>
      </c>
      <c r="ED39" s="21">
        <f t="shared" si="2421"/>
        <v>0</v>
      </c>
      <c r="EE39" s="19">
        <v>15000.0</v>
      </c>
      <c r="EF39" s="20">
        <v>7855.45</v>
      </c>
      <c r="EG39" s="20">
        <f t="shared" ref="EG39:EH39" si="2422">EF39</f>
        <v>7855.45</v>
      </c>
      <c r="EH39" s="21">
        <f t="shared" si="2422"/>
        <v>7855.45</v>
      </c>
      <c r="EI39" s="19">
        <v>0.0</v>
      </c>
      <c r="EJ39" s="21">
        <f t="shared" ref="EJ39:EK39" si="2423">EI39</f>
        <v>0</v>
      </c>
      <c r="EK39" s="21">
        <f t="shared" si="2423"/>
        <v>0</v>
      </c>
      <c r="EL39" s="21">
        <f t="shared" si="797"/>
        <v>0</v>
      </c>
      <c r="EM39" s="19">
        <v>2000.0</v>
      </c>
      <c r="EN39" s="20">
        <f t="shared" ref="EN39:EP39" si="2424">EM39</f>
        <v>2000</v>
      </c>
      <c r="EO39" s="20">
        <f t="shared" si="2424"/>
        <v>2000</v>
      </c>
      <c r="EP39" s="21">
        <f t="shared" si="2424"/>
        <v>2000</v>
      </c>
      <c r="EQ39" s="19">
        <v>0.0</v>
      </c>
      <c r="ER39" s="20">
        <f t="shared" ref="ER39:ET39" si="2425">EQ39</f>
        <v>0</v>
      </c>
      <c r="ES39" s="20">
        <f t="shared" si="2425"/>
        <v>0</v>
      </c>
      <c r="ET39" s="21">
        <f t="shared" si="2425"/>
        <v>0</v>
      </c>
      <c r="EU39" s="19">
        <v>1000.0</v>
      </c>
      <c r="EV39" s="20">
        <v>0.0</v>
      </c>
      <c r="EW39" s="20">
        <v>1000.0</v>
      </c>
      <c r="EX39" s="21">
        <f>EW39</f>
        <v>1000</v>
      </c>
      <c r="EY39" s="19">
        <v>0.0</v>
      </c>
      <c r="EZ39" s="20">
        <f t="shared" ref="EZ39:FB39" si="2426">EY39</f>
        <v>0</v>
      </c>
      <c r="FA39" s="20">
        <f t="shared" si="2426"/>
        <v>0</v>
      </c>
      <c r="FB39" s="21">
        <f t="shared" si="2426"/>
        <v>0</v>
      </c>
      <c r="FC39" s="19">
        <v>0.0</v>
      </c>
      <c r="FD39" s="20">
        <f t="shared" ref="FD39:FF39" si="2427">FC39</f>
        <v>0</v>
      </c>
      <c r="FE39" s="20">
        <f t="shared" si="2427"/>
        <v>0</v>
      </c>
      <c r="FF39" s="21">
        <f t="shared" si="2427"/>
        <v>0</v>
      </c>
      <c r="FG39" s="19">
        <v>0.0</v>
      </c>
      <c r="FH39" s="20">
        <f t="shared" si="2092"/>
        <v>0</v>
      </c>
      <c r="FI39" s="20">
        <f t="shared" ref="FI39:FJ39" si="2428">FH39</f>
        <v>0</v>
      </c>
      <c r="FJ39" s="21">
        <f t="shared" si="2428"/>
        <v>0</v>
      </c>
      <c r="FK39" s="19">
        <v>0.0</v>
      </c>
      <c r="FL39" s="20">
        <f t="shared" si="2094"/>
        <v>0</v>
      </c>
      <c r="FM39" s="20">
        <f t="shared" ref="FM39:FN39" si="2429">FL39</f>
        <v>0</v>
      </c>
      <c r="FN39" s="21">
        <f t="shared" si="2429"/>
        <v>0</v>
      </c>
      <c r="FO39" s="19">
        <v>0.0</v>
      </c>
      <c r="FP39" s="20">
        <f t="shared" ref="FP39:FR39" si="2430">FO39</f>
        <v>0</v>
      </c>
      <c r="FQ39" s="20">
        <f t="shared" si="2430"/>
        <v>0</v>
      </c>
      <c r="FR39" s="21">
        <f t="shared" si="2430"/>
        <v>0</v>
      </c>
      <c r="FS39" s="19">
        <v>40000.0</v>
      </c>
      <c r="FT39" s="20">
        <v>0.0</v>
      </c>
      <c r="FU39" s="20">
        <v>20200.0</v>
      </c>
      <c r="FV39" s="21">
        <v>40000.0</v>
      </c>
      <c r="FW39" s="19">
        <v>0.0</v>
      </c>
      <c r="FX39" s="20">
        <f t="shared" si="2431"/>
        <v>0</v>
      </c>
      <c r="FY39" s="20">
        <f t="shared" ref="FY39:FZ39" si="2432">FX39</f>
        <v>0</v>
      </c>
      <c r="FZ39" s="21">
        <f t="shared" si="2432"/>
        <v>0</v>
      </c>
      <c r="GA39" s="19">
        <v>33151.6</v>
      </c>
      <c r="GB39" s="20">
        <f>29674+1</f>
        <v>29675</v>
      </c>
      <c r="GC39" s="20">
        <f>32737.6+1</f>
        <v>32738.6</v>
      </c>
      <c r="GD39" s="21">
        <f>GC39</f>
        <v>32738.6</v>
      </c>
      <c r="GE39" s="19">
        <v>0.0</v>
      </c>
      <c r="GF39" s="20">
        <f t="shared" ref="GF39:GH39" si="2433">GE39</f>
        <v>0</v>
      </c>
      <c r="GG39" s="20">
        <f t="shared" si="2433"/>
        <v>0</v>
      </c>
      <c r="GH39" s="21">
        <f t="shared" si="2433"/>
        <v>0</v>
      </c>
      <c r="GI39" s="19">
        <v>0.0</v>
      </c>
      <c r="GJ39" s="20">
        <f t="shared" si="2103"/>
        <v>0</v>
      </c>
      <c r="GK39" s="20">
        <f t="shared" ref="GK39:GL39" si="2434">GJ39</f>
        <v>0</v>
      </c>
      <c r="GL39" s="20">
        <f t="shared" si="2434"/>
        <v>0</v>
      </c>
      <c r="GM39" s="22">
        <v>0.0</v>
      </c>
      <c r="GN39" s="20">
        <f t="shared" ref="GN39:GP39" si="2435">GM39</f>
        <v>0</v>
      </c>
      <c r="GO39" s="20">
        <f t="shared" si="2435"/>
        <v>0</v>
      </c>
      <c r="GP39" s="21">
        <f t="shared" si="2435"/>
        <v>0</v>
      </c>
      <c r="GQ39" s="19">
        <v>0.0</v>
      </c>
      <c r="GR39" s="20">
        <f t="shared" si="2106"/>
        <v>0</v>
      </c>
      <c r="GS39" s="20">
        <f t="shared" ref="GS39:GT39" si="2436">GR39</f>
        <v>0</v>
      </c>
      <c r="GT39" s="21">
        <f t="shared" si="2436"/>
        <v>0</v>
      </c>
      <c r="GU39" s="19">
        <v>0.0</v>
      </c>
      <c r="GV39" s="20">
        <f t="shared" si="2370"/>
        <v>0</v>
      </c>
      <c r="GW39" s="20">
        <f t="shared" ref="GW39:GX39" si="2437">GV39</f>
        <v>0</v>
      </c>
      <c r="GX39" s="21">
        <f t="shared" si="2437"/>
        <v>0</v>
      </c>
      <c r="GY39" s="19">
        <v>2000.0</v>
      </c>
      <c r="GZ39" s="20">
        <f t="shared" ref="GZ39:HB39" si="2438">GY39</f>
        <v>2000</v>
      </c>
      <c r="HA39" s="20">
        <f t="shared" si="2438"/>
        <v>2000</v>
      </c>
      <c r="HB39" s="21">
        <f t="shared" si="2438"/>
        <v>2000</v>
      </c>
      <c r="HC39" s="19">
        <v>20000.0</v>
      </c>
      <c r="HD39" s="20">
        <f t="shared" ref="HD39:HD41" si="2510">HC39</f>
        <v>20000</v>
      </c>
      <c r="HE39" s="20">
        <f>5200+3830</f>
        <v>9030</v>
      </c>
      <c r="HF39" s="21">
        <f>HE39</f>
        <v>9030</v>
      </c>
      <c r="HG39" s="19">
        <v>50000.0</v>
      </c>
      <c r="HH39" s="20">
        <v>0.0</v>
      </c>
      <c r="HI39" s="20">
        <f t="shared" ref="HI39:HJ39" si="2439">HH39</f>
        <v>0</v>
      </c>
      <c r="HJ39" s="21">
        <f t="shared" si="2439"/>
        <v>0</v>
      </c>
      <c r="HK39" s="19">
        <v>0.0</v>
      </c>
      <c r="HL39" s="20">
        <f t="shared" si="2113"/>
        <v>0</v>
      </c>
      <c r="HM39" s="20">
        <f t="shared" ref="HM39:HN39" si="2440">HL39</f>
        <v>0</v>
      </c>
      <c r="HN39" s="21">
        <f t="shared" si="2440"/>
        <v>0</v>
      </c>
      <c r="HO39" s="19">
        <v>29850.0</v>
      </c>
      <c r="HP39" s="20">
        <v>5000.0</v>
      </c>
      <c r="HQ39" s="20">
        <v>15000.0</v>
      </c>
      <c r="HR39" s="21">
        <f>HQ39</f>
        <v>15000</v>
      </c>
      <c r="HS39" s="19">
        <v>0.0</v>
      </c>
      <c r="HT39" s="20">
        <f t="shared" ref="HT39:HV39" si="2441">HS39</f>
        <v>0</v>
      </c>
      <c r="HU39" s="20">
        <f t="shared" si="2441"/>
        <v>0</v>
      </c>
      <c r="HV39" s="21">
        <f t="shared" si="2441"/>
        <v>0</v>
      </c>
      <c r="HW39" s="19">
        <v>0.0</v>
      </c>
      <c r="HX39" s="20">
        <f t="shared" si="2118"/>
        <v>0</v>
      </c>
      <c r="HY39" s="20">
        <f t="shared" ref="HY39:HZ39" si="2442">HX39</f>
        <v>0</v>
      </c>
      <c r="HZ39" s="21">
        <f t="shared" si="2442"/>
        <v>0</v>
      </c>
      <c r="IA39" s="19">
        <v>0.0</v>
      </c>
      <c r="IB39" s="20">
        <f t="shared" si="1789"/>
        <v>0</v>
      </c>
      <c r="IC39" s="20">
        <f t="shared" ref="IC39:ID39" si="2443">IB39</f>
        <v>0</v>
      </c>
      <c r="ID39" s="21">
        <f t="shared" si="2443"/>
        <v>0</v>
      </c>
      <c r="IE39" s="19">
        <v>0.0</v>
      </c>
      <c r="IF39" s="20">
        <f t="shared" si="1929"/>
        <v>0</v>
      </c>
      <c r="IG39" s="20">
        <f t="shared" ref="IG39:IH39" si="2444">IF39</f>
        <v>0</v>
      </c>
      <c r="IH39" s="21">
        <f t="shared" si="2444"/>
        <v>0</v>
      </c>
      <c r="II39" s="19">
        <v>0.0</v>
      </c>
      <c r="IJ39" s="20">
        <f t="shared" si="2119"/>
        <v>0</v>
      </c>
      <c r="IK39" s="20">
        <f t="shared" ref="IK39:IL39" si="2445">IJ39</f>
        <v>0</v>
      </c>
      <c r="IL39" s="21">
        <f t="shared" si="2445"/>
        <v>0</v>
      </c>
      <c r="IM39" s="19">
        <v>0.0</v>
      </c>
      <c r="IN39" s="20">
        <f t="shared" si="2121"/>
        <v>0</v>
      </c>
      <c r="IO39" s="20">
        <f t="shared" ref="IO39:IP39" si="2446">IN39</f>
        <v>0</v>
      </c>
      <c r="IP39" s="21">
        <f t="shared" si="2446"/>
        <v>0</v>
      </c>
      <c r="IQ39" s="19">
        <v>0.0</v>
      </c>
      <c r="IR39" s="20">
        <f t="shared" si="2123"/>
        <v>0</v>
      </c>
      <c r="IS39" s="20">
        <f t="shared" ref="IS39:IT39" si="2447">IR39</f>
        <v>0</v>
      </c>
      <c r="IT39" s="21">
        <f t="shared" si="2447"/>
        <v>0</v>
      </c>
      <c r="IU39" s="19">
        <v>0.0</v>
      </c>
      <c r="IV39" s="20">
        <f t="shared" ref="IV39:IX39" si="2448">IU39</f>
        <v>0</v>
      </c>
      <c r="IW39" s="20">
        <f t="shared" si="2448"/>
        <v>0</v>
      </c>
      <c r="IX39" s="21">
        <f t="shared" si="2448"/>
        <v>0</v>
      </c>
      <c r="IY39" s="19">
        <v>0.0</v>
      </c>
      <c r="IZ39" s="20">
        <f t="shared" si="2126"/>
        <v>0</v>
      </c>
      <c r="JA39" s="20">
        <f t="shared" ref="JA39:JB39" si="2449">IZ39</f>
        <v>0</v>
      </c>
      <c r="JB39" s="21">
        <f t="shared" si="2449"/>
        <v>0</v>
      </c>
      <c r="JC39" s="19">
        <v>0.0</v>
      </c>
      <c r="JD39" s="20">
        <f t="shared" si="2128"/>
        <v>0</v>
      </c>
      <c r="JE39" s="20">
        <f t="shared" ref="JE39:JF39" si="2450">JD39</f>
        <v>0</v>
      </c>
      <c r="JF39" s="20">
        <f t="shared" si="2450"/>
        <v>0</v>
      </c>
      <c r="JG39" s="19">
        <v>0.0</v>
      </c>
      <c r="JH39" s="20">
        <f t="shared" si="2130"/>
        <v>0</v>
      </c>
      <c r="JI39" s="20">
        <f t="shared" ref="JI39:JJ39" si="2451">JH39</f>
        <v>0</v>
      </c>
      <c r="JJ39" s="21">
        <f t="shared" si="2451"/>
        <v>0</v>
      </c>
      <c r="JK39" s="19">
        <v>0.0</v>
      </c>
      <c r="JL39" s="20">
        <f t="shared" ref="JL39:JN39" si="2452">JK39</f>
        <v>0</v>
      </c>
      <c r="JM39" s="20">
        <f t="shared" si="2452"/>
        <v>0</v>
      </c>
      <c r="JN39" s="21">
        <f t="shared" si="2452"/>
        <v>0</v>
      </c>
      <c r="JO39" s="19">
        <v>0.0</v>
      </c>
      <c r="JP39" s="20">
        <f t="shared" ref="JP39:JR39" si="2453">JO39</f>
        <v>0</v>
      </c>
      <c r="JQ39" s="20">
        <f t="shared" si="2453"/>
        <v>0</v>
      </c>
      <c r="JR39" s="21">
        <f t="shared" si="2453"/>
        <v>0</v>
      </c>
      <c r="JS39" s="19">
        <v>0.0</v>
      </c>
      <c r="JT39" s="20">
        <f t="shared" ref="JT39:JV39" si="2454">JS39</f>
        <v>0</v>
      </c>
      <c r="JU39" s="20">
        <f t="shared" si="2454"/>
        <v>0</v>
      </c>
      <c r="JV39" s="21">
        <f t="shared" si="2454"/>
        <v>0</v>
      </c>
      <c r="JW39" s="19">
        <v>0.0</v>
      </c>
      <c r="JX39" s="20">
        <f t="shared" ref="JX39:JZ39" si="2455">JW39</f>
        <v>0</v>
      </c>
      <c r="JY39" s="20">
        <f t="shared" si="2455"/>
        <v>0</v>
      </c>
      <c r="JZ39" s="21">
        <f t="shared" si="2455"/>
        <v>0</v>
      </c>
    </row>
    <row r="40" ht="15.75" customHeight="1">
      <c r="A40" s="24" t="s">
        <v>118</v>
      </c>
      <c r="B40" s="18"/>
      <c r="C40" s="19">
        <v>0.0</v>
      </c>
      <c r="D40" s="20">
        <f t="shared" ref="D40:F40" si="2456">C40</f>
        <v>0</v>
      </c>
      <c r="E40" s="20">
        <f t="shared" si="2456"/>
        <v>0</v>
      </c>
      <c r="F40" s="21">
        <f t="shared" si="2456"/>
        <v>0</v>
      </c>
      <c r="G40" s="19">
        <v>0.0</v>
      </c>
      <c r="H40" s="20">
        <f t="shared" ref="H40:J40" si="2457">G40</f>
        <v>0</v>
      </c>
      <c r="I40" s="20">
        <f t="shared" si="2457"/>
        <v>0</v>
      </c>
      <c r="J40" s="21">
        <f t="shared" si="2457"/>
        <v>0</v>
      </c>
      <c r="K40" s="19">
        <v>0.0</v>
      </c>
      <c r="L40" s="20">
        <f t="shared" ref="L40:N40" si="2458">K40</f>
        <v>0</v>
      </c>
      <c r="M40" s="20">
        <f t="shared" si="2458"/>
        <v>0</v>
      </c>
      <c r="N40" s="21">
        <f t="shared" si="2458"/>
        <v>0</v>
      </c>
      <c r="O40" s="19">
        <v>0.0</v>
      </c>
      <c r="P40" s="20">
        <f t="shared" ref="P40:R40" si="2459">O40</f>
        <v>0</v>
      </c>
      <c r="Q40" s="20">
        <f t="shared" si="2459"/>
        <v>0</v>
      </c>
      <c r="R40" s="21">
        <f t="shared" si="2459"/>
        <v>0</v>
      </c>
      <c r="S40" s="19">
        <v>0.0</v>
      </c>
      <c r="T40" s="20">
        <f t="shared" ref="T40:V40" si="2460">S40</f>
        <v>0</v>
      </c>
      <c r="U40" s="20">
        <f t="shared" si="2460"/>
        <v>0</v>
      </c>
      <c r="V40" s="21">
        <f t="shared" si="2460"/>
        <v>0</v>
      </c>
      <c r="W40" s="19">
        <v>0.0</v>
      </c>
      <c r="X40" s="20">
        <f t="shared" si="2046"/>
        <v>0</v>
      </c>
      <c r="Y40" s="20">
        <f t="shared" ref="Y40:Z40" si="2461">X40</f>
        <v>0</v>
      </c>
      <c r="Z40" s="21">
        <f t="shared" si="2461"/>
        <v>0</v>
      </c>
      <c r="AA40" s="19">
        <v>0.0</v>
      </c>
      <c r="AB40" s="20">
        <f t="shared" ref="AB40:AD40" si="2462">AA40</f>
        <v>0</v>
      </c>
      <c r="AC40" s="20">
        <f t="shared" si="2462"/>
        <v>0</v>
      </c>
      <c r="AD40" s="21">
        <f t="shared" si="2462"/>
        <v>0</v>
      </c>
      <c r="AE40" s="19">
        <v>0.0</v>
      </c>
      <c r="AF40" s="20">
        <f t="shared" ref="AF40:AH40" si="2463">AE40</f>
        <v>0</v>
      </c>
      <c r="AG40" s="20">
        <f t="shared" si="2463"/>
        <v>0</v>
      </c>
      <c r="AH40" s="21">
        <f t="shared" si="2463"/>
        <v>0</v>
      </c>
      <c r="AI40" s="19">
        <v>0.0</v>
      </c>
      <c r="AJ40" s="20">
        <f t="shared" ref="AJ40:AL40" si="2464">AI40</f>
        <v>0</v>
      </c>
      <c r="AK40" s="20">
        <f t="shared" si="2464"/>
        <v>0</v>
      </c>
      <c r="AL40" s="21">
        <f t="shared" si="2464"/>
        <v>0</v>
      </c>
      <c r="AM40" s="19">
        <v>0.0</v>
      </c>
      <c r="AN40" s="20">
        <f t="shared" ref="AN40:AP40" si="2465">AM40</f>
        <v>0</v>
      </c>
      <c r="AO40" s="20">
        <f t="shared" si="2465"/>
        <v>0</v>
      </c>
      <c r="AP40" s="21">
        <f t="shared" si="2465"/>
        <v>0</v>
      </c>
      <c r="AQ40" s="19">
        <v>0.0</v>
      </c>
      <c r="AR40" s="20">
        <f t="shared" ref="AR40:AT40" si="2466">AQ40</f>
        <v>0</v>
      </c>
      <c r="AS40" s="20">
        <f t="shared" si="2466"/>
        <v>0</v>
      </c>
      <c r="AT40" s="21">
        <f t="shared" si="2466"/>
        <v>0</v>
      </c>
      <c r="AU40" s="19">
        <v>0.0</v>
      </c>
      <c r="AV40" s="20">
        <f t="shared" ref="AV40:AX40" si="2467">AU40</f>
        <v>0</v>
      </c>
      <c r="AW40" s="20">
        <f t="shared" si="2467"/>
        <v>0</v>
      </c>
      <c r="AX40" s="21">
        <f t="shared" si="2467"/>
        <v>0</v>
      </c>
      <c r="AY40" s="19">
        <v>0.0</v>
      </c>
      <c r="AZ40" s="20">
        <f t="shared" si="2053"/>
        <v>0</v>
      </c>
      <c r="BA40" s="20">
        <f t="shared" ref="BA40:BB40" si="2468">AZ40</f>
        <v>0</v>
      </c>
      <c r="BB40" s="21">
        <f t="shared" si="2468"/>
        <v>0</v>
      </c>
      <c r="BC40" s="19">
        <v>0.0</v>
      </c>
      <c r="BD40" s="20">
        <f t="shared" ref="BD40:BF40" si="2469">BC40</f>
        <v>0</v>
      </c>
      <c r="BE40" s="20">
        <f t="shared" si="2469"/>
        <v>0</v>
      </c>
      <c r="BF40" s="21">
        <f t="shared" si="2469"/>
        <v>0</v>
      </c>
      <c r="BG40" s="19">
        <v>0.0</v>
      </c>
      <c r="BH40" s="20">
        <f t="shared" ref="BH40:BJ40" si="2470">BG40</f>
        <v>0</v>
      </c>
      <c r="BI40" s="20">
        <f t="shared" si="2470"/>
        <v>0</v>
      </c>
      <c r="BJ40" s="21">
        <f t="shared" si="2470"/>
        <v>0</v>
      </c>
      <c r="BK40" s="19">
        <v>0.0</v>
      </c>
      <c r="BL40" s="20">
        <f t="shared" ref="BL40:BN40" si="2471">BK40</f>
        <v>0</v>
      </c>
      <c r="BM40" s="20">
        <f t="shared" si="2471"/>
        <v>0</v>
      </c>
      <c r="BN40" s="21">
        <f t="shared" si="2471"/>
        <v>0</v>
      </c>
      <c r="BO40" s="19">
        <v>0.0</v>
      </c>
      <c r="BP40" s="20">
        <f t="shared" ref="BP40:BR40" si="2472">BO40</f>
        <v>0</v>
      </c>
      <c r="BQ40" s="20">
        <f t="shared" si="2472"/>
        <v>0</v>
      </c>
      <c r="BR40" s="21">
        <f t="shared" si="2472"/>
        <v>0</v>
      </c>
      <c r="BS40" s="19">
        <v>0.0</v>
      </c>
      <c r="BT40" s="20">
        <f t="shared" ref="BT40:BV40" si="2473">BS40</f>
        <v>0</v>
      </c>
      <c r="BU40" s="20">
        <f t="shared" si="2473"/>
        <v>0</v>
      </c>
      <c r="BV40" s="21">
        <f t="shared" si="2473"/>
        <v>0</v>
      </c>
      <c r="BW40" s="19">
        <v>0.0</v>
      </c>
      <c r="BX40" s="20">
        <f t="shared" ref="BX40:BZ40" si="2474">BW40</f>
        <v>0</v>
      </c>
      <c r="BY40" s="20">
        <f t="shared" si="2474"/>
        <v>0</v>
      </c>
      <c r="BZ40" s="21">
        <f t="shared" si="2474"/>
        <v>0</v>
      </c>
      <c r="CA40" s="19">
        <v>0.0</v>
      </c>
      <c r="CB40" s="20">
        <f t="shared" ref="CB40:CD40" si="2475">CA40</f>
        <v>0</v>
      </c>
      <c r="CC40" s="20">
        <f t="shared" si="2475"/>
        <v>0</v>
      </c>
      <c r="CD40" s="21">
        <f t="shared" si="2475"/>
        <v>0</v>
      </c>
      <c r="CE40" s="19">
        <v>0.0</v>
      </c>
      <c r="CF40" s="20">
        <f t="shared" ref="CF40:CH40" si="2476">CE40</f>
        <v>0</v>
      </c>
      <c r="CG40" s="20">
        <f t="shared" si="2476"/>
        <v>0</v>
      </c>
      <c r="CH40" s="21">
        <f t="shared" si="2476"/>
        <v>0</v>
      </c>
      <c r="CI40" s="19">
        <v>0.0</v>
      </c>
      <c r="CJ40" s="20">
        <f t="shared" ref="CJ40:CL40" si="2477">CI40</f>
        <v>0</v>
      </c>
      <c r="CK40" s="20">
        <f t="shared" si="2477"/>
        <v>0</v>
      </c>
      <c r="CL40" s="21">
        <f t="shared" si="2477"/>
        <v>0</v>
      </c>
      <c r="CM40" s="19">
        <v>0.0</v>
      </c>
      <c r="CN40" s="20">
        <f t="shared" ref="CN40:CP40" si="2478">CM40</f>
        <v>0</v>
      </c>
      <c r="CO40" s="20">
        <f t="shared" si="2478"/>
        <v>0</v>
      </c>
      <c r="CP40" s="21">
        <f t="shared" si="2478"/>
        <v>0</v>
      </c>
      <c r="CQ40" s="19">
        <v>0.0</v>
      </c>
      <c r="CR40" s="20">
        <f t="shared" ref="CR40:CT40" si="2479">CQ40</f>
        <v>0</v>
      </c>
      <c r="CS40" s="20">
        <f t="shared" si="2479"/>
        <v>0</v>
      </c>
      <c r="CT40" s="21">
        <f t="shared" si="2479"/>
        <v>0</v>
      </c>
      <c r="CU40" s="19">
        <v>0.0</v>
      </c>
      <c r="CV40" s="20">
        <f t="shared" si="2480"/>
        <v>0</v>
      </c>
      <c r="CW40" s="20">
        <f t="shared" ref="CW40:CX40" si="2481">CV40</f>
        <v>0</v>
      </c>
      <c r="CX40" s="21">
        <f t="shared" si="2481"/>
        <v>0</v>
      </c>
      <c r="CY40" s="19">
        <v>0.0</v>
      </c>
      <c r="CZ40" s="20">
        <f t="shared" ref="CZ40:DB40" si="2482">CY40</f>
        <v>0</v>
      </c>
      <c r="DA40" s="20">
        <f t="shared" si="2482"/>
        <v>0</v>
      </c>
      <c r="DB40" s="21">
        <f t="shared" si="2482"/>
        <v>0</v>
      </c>
      <c r="DC40" s="19">
        <v>0.0</v>
      </c>
      <c r="DD40" s="20">
        <f t="shared" ref="DD40:DF40" si="2483">DC40</f>
        <v>0</v>
      </c>
      <c r="DE40" s="20">
        <f t="shared" si="2483"/>
        <v>0</v>
      </c>
      <c r="DF40" s="21">
        <f t="shared" si="2483"/>
        <v>0</v>
      </c>
      <c r="DG40" s="19">
        <v>0.0</v>
      </c>
      <c r="DH40" s="20">
        <f t="shared" si="2074"/>
        <v>0</v>
      </c>
      <c r="DI40" s="20">
        <f t="shared" ref="DI40:DJ40" si="2484">DH40</f>
        <v>0</v>
      </c>
      <c r="DJ40" s="21">
        <f t="shared" si="2484"/>
        <v>0</v>
      </c>
      <c r="DK40" s="19">
        <v>0.0</v>
      </c>
      <c r="DL40" s="20">
        <f t="shared" si="2076"/>
        <v>0</v>
      </c>
      <c r="DM40" s="20">
        <f t="shared" ref="DM40:DN40" si="2485">DL40</f>
        <v>0</v>
      </c>
      <c r="DN40" s="21">
        <f t="shared" si="2485"/>
        <v>0</v>
      </c>
      <c r="DO40" s="19">
        <v>0.0</v>
      </c>
      <c r="DP40" s="20">
        <f t="shared" ref="DP40:DR40" si="2486">DO40</f>
        <v>0</v>
      </c>
      <c r="DQ40" s="20">
        <f t="shared" si="2486"/>
        <v>0</v>
      </c>
      <c r="DR40" s="21">
        <f t="shared" si="2486"/>
        <v>0</v>
      </c>
      <c r="DS40" s="19">
        <v>0.0</v>
      </c>
      <c r="DT40" s="20">
        <f t="shared" ref="DT40:DV40" si="2487">DS40</f>
        <v>0</v>
      </c>
      <c r="DU40" s="20">
        <f t="shared" si="2487"/>
        <v>0</v>
      </c>
      <c r="DV40" s="21">
        <f t="shared" si="2487"/>
        <v>0</v>
      </c>
      <c r="DW40" s="19">
        <v>0.0</v>
      </c>
      <c r="DX40" s="20">
        <f t="shared" si="2488"/>
        <v>0</v>
      </c>
      <c r="DY40" s="20">
        <f t="shared" ref="DY40:DZ40" si="2489">DX40</f>
        <v>0</v>
      </c>
      <c r="DZ40" s="21">
        <f t="shared" si="2489"/>
        <v>0</v>
      </c>
      <c r="EA40" s="19">
        <v>0.0</v>
      </c>
      <c r="EB40" s="20">
        <f t="shared" ref="EB40:ED40" si="2490">EA40</f>
        <v>0</v>
      </c>
      <c r="EC40" s="20">
        <f t="shared" si="2490"/>
        <v>0</v>
      </c>
      <c r="ED40" s="21">
        <f t="shared" si="2490"/>
        <v>0</v>
      </c>
      <c r="EE40" s="19">
        <v>0.0</v>
      </c>
      <c r="EF40" s="20">
        <f t="shared" ref="EF40:EH40" si="2491">EE40</f>
        <v>0</v>
      </c>
      <c r="EG40" s="20">
        <f t="shared" si="2491"/>
        <v>0</v>
      </c>
      <c r="EH40" s="21">
        <f t="shared" si="2491"/>
        <v>0</v>
      </c>
      <c r="EI40" s="19">
        <v>0.0</v>
      </c>
      <c r="EJ40" s="21">
        <f t="shared" ref="EJ40:EK40" si="2492">EI40</f>
        <v>0</v>
      </c>
      <c r="EK40" s="21">
        <f t="shared" si="2492"/>
        <v>0</v>
      </c>
      <c r="EL40" s="21">
        <f t="shared" si="797"/>
        <v>0</v>
      </c>
      <c r="EM40" s="19">
        <v>0.0</v>
      </c>
      <c r="EN40" s="20">
        <f t="shared" ref="EN40:EP40" si="2493">EM40</f>
        <v>0</v>
      </c>
      <c r="EO40" s="20">
        <f t="shared" si="2493"/>
        <v>0</v>
      </c>
      <c r="EP40" s="21">
        <f t="shared" si="2493"/>
        <v>0</v>
      </c>
      <c r="EQ40" s="19">
        <v>0.0</v>
      </c>
      <c r="ER40" s="20">
        <f t="shared" ref="ER40:ET40" si="2494">EQ40</f>
        <v>0</v>
      </c>
      <c r="ES40" s="20">
        <f t="shared" si="2494"/>
        <v>0</v>
      </c>
      <c r="ET40" s="21">
        <f t="shared" si="2494"/>
        <v>0</v>
      </c>
      <c r="EU40" s="19">
        <v>0.0</v>
      </c>
      <c r="EV40" s="20">
        <f t="shared" ref="EV40:EX40" si="2495">EU40</f>
        <v>0</v>
      </c>
      <c r="EW40" s="20">
        <f t="shared" si="2495"/>
        <v>0</v>
      </c>
      <c r="EX40" s="21">
        <f t="shared" si="2495"/>
        <v>0</v>
      </c>
      <c r="EY40" s="19">
        <v>0.0</v>
      </c>
      <c r="EZ40" s="20">
        <f t="shared" ref="EZ40:FB40" si="2496">EY40</f>
        <v>0</v>
      </c>
      <c r="FA40" s="20">
        <f t="shared" si="2496"/>
        <v>0</v>
      </c>
      <c r="FB40" s="21">
        <f t="shared" si="2496"/>
        <v>0</v>
      </c>
      <c r="FC40" s="19">
        <v>0.0</v>
      </c>
      <c r="FD40" s="20">
        <f t="shared" ref="FD40:FF40" si="2497">FC40</f>
        <v>0</v>
      </c>
      <c r="FE40" s="20">
        <f t="shared" si="2497"/>
        <v>0</v>
      </c>
      <c r="FF40" s="21">
        <f t="shared" si="2497"/>
        <v>0</v>
      </c>
      <c r="FG40" s="19">
        <v>0.0</v>
      </c>
      <c r="FH40" s="20">
        <f t="shared" si="2092"/>
        <v>0</v>
      </c>
      <c r="FI40" s="20">
        <f t="shared" ref="FI40:FJ40" si="2498">FH40</f>
        <v>0</v>
      </c>
      <c r="FJ40" s="21">
        <f t="shared" si="2498"/>
        <v>0</v>
      </c>
      <c r="FK40" s="19">
        <v>0.0</v>
      </c>
      <c r="FL40" s="20">
        <f t="shared" si="2094"/>
        <v>0</v>
      </c>
      <c r="FM40" s="20">
        <f t="shared" ref="FM40:FN40" si="2499">FL40</f>
        <v>0</v>
      </c>
      <c r="FN40" s="21">
        <f t="shared" si="2499"/>
        <v>0</v>
      </c>
      <c r="FO40" s="19">
        <v>0.0</v>
      </c>
      <c r="FP40" s="20">
        <f t="shared" ref="FP40:FR40" si="2500">FO40</f>
        <v>0</v>
      </c>
      <c r="FQ40" s="20">
        <f t="shared" si="2500"/>
        <v>0</v>
      </c>
      <c r="FR40" s="21">
        <f t="shared" si="2500"/>
        <v>0</v>
      </c>
      <c r="FS40" s="19">
        <v>0.0</v>
      </c>
      <c r="FT40" s="20">
        <f t="shared" ref="FT40:FV40" si="2501">FS40</f>
        <v>0</v>
      </c>
      <c r="FU40" s="20">
        <f t="shared" si="2501"/>
        <v>0</v>
      </c>
      <c r="FV40" s="21">
        <f t="shared" si="2501"/>
        <v>0</v>
      </c>
      <c r="FW40" s="19">
        <v>0.0</v>
      </c>
      <c r="FX40" s="20">
        <f t="shared" si="2431"/>
        <v>0</v>
      </c>
      <c r="FY40" s="20">
        <f t="shared" ref="FY40:FZ40" si="2502">FX40</f>
        <v>0</v>
      </c>
      <c r="FZ40" s="21">
        <f t="shared" si="2502"/>
        <v>0</v>
      </c>
      <c r="GA40" s="19">
        <v>0.0</v>
      </c>
      <c r="GB40" s="20">
        <f t="shared" ref="GB40:GD40" si="2503">GA40</f>
        <v>0</v>
      </c>
      <c r="GC40" s="20">
        <f t="shared" si="2503"/>
        <v>0</v>
      </c>
      <c r="GD40" s="21">
        <f t="shared" si="2503"/>
        <v>0</v>
      </c>
      <c r="GE40" s="19">
        <v>0.0</v>
      </c>
      <c r="GF40" s="20">
        <f t="shared" ref="GF40:GH40" si="2504">GE40</f>
        <v>0</v>
      </c>
      <c r="GG40" s="20">
        <f t="shared" si="2504"/>
        <v>0</v>
      </c>
      <c r="GH40" s="21">
        <f t="shared" si="2504"/>
        <v>0</v>
      </c>
      <c r="GI40" s="19">
        <v>0.0</v>
      </c>
      <c r="GJ40" s="20">
        <f t="shared" si="2103"/>
        <v>0</v>
      </c>
      <c r="GK40" s="20">
        <f t="shared" ref="GK40:GL40" si="2505">GJ40</f>
        <v>0</v>
      </c>
      <c r="GL40" s="20">
        <f t="shared" si="2505"/>
        <v>0</v>
      </c>
      <c r="GM40" s="22">
        <v>0.0</v>
      </c>
      <c r="GN40" s="20">
        <f t="shared" ref="GN40:GP40" si="2506">GM40</f>
        <v>0</v>
      </c>
      <c r="GO40" s="20">
        <f t="shared" si="2506"/>
        <v>0</v>
      </c>
      <c r="GP40" s="21">
        <f t="shared" si="2506"/>
        <v>0</v>
      </c>
      <c r="GQ40" s="19">
        <v>0.0</v>
      </c>
      <c r="GR40" s="20">
        <f t="shared" si="2106"/>
        <v>0</v>
      </c>
      <c r="GS40" s="20">
        <f t="shared" ref="GS40:GT40" si="2507">GR40</f>
        <v>0</v>
      </c>
      <c r="GT40" s="21">
        <f t="shared" si="2507"/>
        <v>0</v>
      </c>
      <c r="GU40" s="19">
        <v>0.0</v>
      </c>
      <c r="GV40" s="20">
        <f t="shared" si="2370"/>
        <v>0</v>
      </c>
      <c r="GW40" s="20">
        <f t="shared" ref="GW40:GX40" si="2508">GV40</f>
        <v>0</v>
      </c>
      <c r="GX40" s="21">
        <f t="shared" si="2508"/>
        <v>0</v>
      </c>
      <c r="GY40" s="19">
        <v>0.0</v>
      </c>
      <c r="GZ40" s="20">
        <f t="shared" ref="GZ40:HB40" si="2509">GY40</f>
        <v>0</v>
      </c>
      <c r="HA40" s="20">
        <f t="shared" si="2509"/>
        <v>0</v>
      </c>
      <c r="HB40" s="21">
        <f t="shared" si="2509"/>
        <v>0</v>
      </c>
      <c r="HC40" s="19">
        <v>0.0</v>
      </c>
      <c r="HD40" s="20">
        <f t="shared" si="2510"/>
        <v>0</v>
      </c>
      <c r="HE40" s="20">
        <f t="shared" ref="HE40:HF40" si="2511">HD40</f>
        <v>0</v>
      </c>
      <c r="HF40" s="21">
        <f t="shared" si="2511"/>
        <v>0</v>
      </c>
      <c r="HG40" s="19">
        <v>0.0</v>
      </c>
      <c r="HH40" s="20">
        <f t="shared" ref="HH40:HJ40" si="2512">HG40</f>
        <v>0</v>
      </c>
      <c r="HI40" s="20">
        <f t="shared" si="2512"/>
        <v>0</v>
      </c>
      <c r="HJ40" s="21">
        <f t="shared" si="2512"/>
        <v>0</v>
      </c>
      <c r="HK40" s="19">
        <v>0.0</v>
      </c>
      <c r="HL40" s="20">
        <f t="shared" si="2113"/>
        <v>0</v>
      </c>
      <c r="HM40" s="20">
        <f t="shared" ref="HM40:HN40" si="2513">HL40</f>
        <v>0</v>
      </c>
      <c r="HN40" s="21">
        <f t="shared" si="2513"/>
        <v>0</v>
      </c>
      <c r="HO40" s="19">
        <v>0.0</v>
      </c>
      <c r="HP40" s="20">
        <f t="shared" ref="HP40:HR40" si="2514">HO40</f>
        <v>0</v>
      </c>
      <c r="HQ40" s="20">
        <f t="shared" si="2514"/>
        <v>0</v>
      </c>
      <c r="HR40" s="21">
        <f t="shared" si="2514"/>
        <v>0</v>
      </c>
      <c r="HS40" s="19">
        <v>0.0</v>
      </c>
      <c r="HT40" s="20">
        <f t="shared" ref="HT40:HV40" si="2515">HS40</f>
        <v>0</v>
      </c>
      <c r="HU40" s="20">
        <f t="shared" si="2515"/>
        <v>0</v>
      </c>
      <c r="HV40" s="21">
        <f t="shared" si="2515"/>
        <v>0</v>
      </c>
      <c r="HW40" s="19">
        <v>0.0</v>
      </c>
      <c r="HX40" s="20">
        <f t="shared" si="2118"/>
        <v>0</v>
      </c>
      <c r="HY40" s="20">
        <f t="shared" ref="HY40:HZ40" si="2516">HX40</f>
        <v>0</v>
      </c>
      <c r="HZ40" s="21">
        <f t="shared" si="2516"/>
        <v>0</v>
      </c>
      <c r="IA40" s="19">
        <v>0.0</v>
      </c>
      <c r="IB40" s="20">
        <f t="shared" si="1789"/>
        <v>0</v>
      </c>
      <c r="IC40" s="20">
        <f t="shared" ref="IC40:ID40" si="2517">IB40</f>
        <v>0</v>
      </c>
      <c r="ID40" s="21">
        <f t="shared" si="2517"/>
        <v>0</v>
      </c>
      <c r="IE40" s="19">
        <v>0.0</v>
      </c>
      <c r="IF40" s="20">
        <f t="shared" si="1929"/>
        <v>0</v>
      </c>
      <c r="IG40" s="20">
        <f t="shared" ref="IG40:IH40" si="2518">IF40</f>
        <v>0</v>
      </c>
      <c r="IH40" s="21">
        <f t="shared" si="2518"/>
        <v>0</v>
      </c>
      <c r="II40" s="19">
        <v>0.0</v>
      </c>
      <c r="IJ40" s="20">
        <f t="shared" si="2119"/>
        <v>0</v>
      </c>
      <c r="IK40" s="20">
        <f t="shared" ref="IK40:IL40" si="2519">IJ40</f>
        <v>0</v>
      </c>
      <c r="IL40" s="21">
        <f t="shared" si="2519"/>
        <v>0</v>
      </c>
      <c r="IM40" s="19">
        <v>0.0</v>
      </c>
      <c r="IN40" s="20">
        <f t="shared" si="2121"/>
        <v>0</v>
      </c>
      <c r="IO40" s="20">
        <f t="shared" ref="IO40:IP40" si="2520">IN40</f>
        <v>0</v>
      </c>
      <c r="IP40" s="21">
        <f t="shared" si="2520"/>
        <v>0</v>
      </c>
      <c r="IQ40" s="19">
        <v>0.0</v>
      </c>
      <c r="IR40" s="20">
        <f t="shared" si="2123"/>
        <v>0</v>
      </c>
      <c r="IS40" s="20">
        <f t="shared" ref="IS40:IT40" si="2521">IR40</f>
        <v>0</v>
      </c>
      <c r="IT40" s="21">
        <f t="shared" si="2521"/>
        <v>0</v>
      </c>
      <c r="IU40" s="19">
        <v>0.0</v>
      </c>
      <c r="IV40" s="20">
        <f t="shared" ref="IV40:IX40" si="2522">IU40</f>
        <v>0</v>
      </c>
      <c r="IW40" s="20">
        <f t="shared" si="2522"/>
        <v>0</v>
      </c>
      <c r="IX40" s="21">
        <f t="shared" si="2522"/>
        <v>0</v>
      </c>
      <c r="IY40" s="19">
        <v>0.0</v>
      </c>
      <c r="IZ40" s="20">
        <f t="shared" si="2126"/>
        <v>0</v>
      </c>
      <c r="JA40" s="20">
        <f t="shared" ref="JA40:JB40" si="2523">IZ40</f>
        <v>0</v>
      </c>
      <c r="JB40" s="21">
        <f t="shared" si="2523"/>
        <v>0</v>
      </c>
      <c r="JC40" s="19">
        <v>0.0</v>
      </c>
      <c r="JD40" s="20">
        <f t="shared" si="2128"/>
        <v>0</v>
      </c>
      <c r="JE40" s="20">
        <f t="shared" ref="JE40:JF40" si="2524">JD40</f>
        <v>0</v>
      </c>
      <c r="JF40" s="20">
        <f t="shared" si="2524"/>
        <v>0</v>
      </c>
      <c r="JG40" s="19">
        <v>0.0</v>
      </c>
      <c r="JH40" s="20">
        <f t="shared" si="2130"/>
        <v>0</v>
      </c>
      <c r="JI40" s="20">
        <f t="shared" ref="JI40:JJ40" si="2525">JH40</f>
        <v>0</v>
      </c>
      <c r="JJ40" s="21">
        <f t="shared" si="2525"/>
        <v>0</v>
      </c>
      <c r="JK40" s="19">
        <v>0.0</v>
      </c>
      <c r="JL40" s="20">
        <f t="shared" ref="JL40:JN40" si="2526">JK40</f>
        <v>0</v>
      </c>
      <c r="JM40" s="20">
        <f t="shared" si="2526"/>
        <v>0</v>
      </c>
      <c r="JN40" s="21">
        <f t="shared" si="2526"/>
        <v>0</v>
      </c>
      <c r="JO40" s="19">
        <v>0.0</v>
      </c>
      <c r="JP40" s="20">
        <f t="shared" ref="JP40:JR40" si="2527">JO40</f>
        <v>0</v>
      </c>
      <c r="JQ40" s="20">
        <f t="shared" si="2527"/>
        <v>0</v>
      </c>
      <c r="JR40" s="21">
        <f t="shared" si="2527"/>
        <v>0</v>
      </c>
      <c r="JS40" s="19">
        <v>0.0</v>
      </c>
      <c r="JT40" s="20">
        <f t="shared" ref="JT40:JV40" si="2528">JS40</f>
        <v>0</v>
      </c>
      <c r="JU40" s="20">
        <f t="shared" si="2528"/>
        <v>0</v>
      </c>
      <c r="JV40" s="21">
        <f t="shared" si="2528"/>
        <v>0</v>
      </c>
      <c r="JW40" s="19">
        <v>0.0</v>
      </c>
      <c r="JX40" s="20">
        <f t="shared" ref="JX40:JZ40" si="2529">JW40</f>
        <v>0</v>
      </c>
      <c r="JY40" s="20">
        <f t="shared" si="2529"/>
        <v>0</v>
      </c>
      <c r="JZ40" s="21">
        <f t="shared" si="2529"/>
        <v>0</v>
      </c>
    </row>
    <row r="41" ht="15.75" customHeight="1">
      <c r="A41" s="24" t="s">
        <v>119</v>
      </c>
      <c r="B41" s="18"/>
      <c r="C41" s="19">
        <v>0.0</v>
      </c>
      <c r="D41" s="20">
        <f t="shared" ref="D41:F41" si="2530">C41</f>
        <v>0</v>
      </c>
      <c r="E41" s="20">
        <f t="shared" si="2530"/>
        <v>0</v>
      </c>
      <c r="F41" s="21">
        <f t="shared" si="2530"/>
        <v>0</v>
      </c>
      <c r="G41" s="19">
        <v>0.0</v>
      </c>
      <c r="H41" s="20">
        <f t="shared" ref="H41:J41" si="2531">G41</f>
        <v>0</v>
      </c>
      <c r="I41" s="20">
        <f t="shared" si="2531"/>
        <v>0</v>
      </c>
      <c r="J41" s="21">
        <f t="shared" si="2531"/>
        <v>0</v>
      </c>
      <c r="K41" s="19">
        <v>0.0</v>
      </c>
      <c r="L41" s="20">
        <f t="shared" ref="L41:N41" si="2532">K41</f>
        <v>0</v>
      </c>
      <c r="M41" s="20">
        <f t="shared" si="2532"/>
        <v>0</v>
      </c>
      <c r="N41" s="21">
        <f t="shared" si="2532"/>
        <v>0</v>
      </c>
      <c r="O41" s="19">
        <v>0.0</v>
      </c>
      <c r="P41" s="20">
        <f t="shared" ref="P41:R41" si="2533">O41</f>
        <v>0</v>
      </c>
      <c r="Q41" s="20">
        <f t="shared" si="2533"/>
        <v>0</v>
      </c>
      <c r="R41" s="21">
        <f t="shared" si="2533"/>
        <v>0</v>
      </c>
      <c r="S41" s="19">
        <v>0.0</v>
      </c>
      <c r="T41" s="20">
        <f t="shared" ref="T41:V41" si="2534">S41</f>
        <v>0</v>
      </c>
      <c r="U41" s="20">
        <f t="shared" si="2534"/>
        <v>0</v>
      </c>
      <c r="V41" s="21">
        <f t="shared" si="2534"/>
        <v>0</v>
      </c>
      <c r="W41" s="19">
        <v>31753.8</v>
      </c>
      <c r="X41" s="20">
        <v>0.0</v>
      </c>
      <c r="Y41" s="20">
        <f t="shared" ref="Y41:Z41" si="2535">X41</f>
        <v>0</v>
      </c>
      <c r="Z41" s="21">
        <f t="shared" si="2535"/>
        <v>0</v>
      </c>
      <c r="AA41" s="19">
        <v>0.0</v>
      </c>
      <c r="AB41" s="20">
        <f t="shared" ref="AB41:AD41" si="2536">AA41</f>
        <v>0</v>
      </c>
      <c r="AC41" s="20">
        <f t="shared" si="2536"/>
        <v>0</v>
      </c>
      <c r="AD41" s="21">
        <f t="shared" si="2536"/>
        <v>0</v>
      </c>
      <c r="AE41" s="19">
        <v>0.0</v>
      </c>
      <c r="AF41" s="20">
        <f t="shared" ref="AF41:AH41" si="2537">AE41</f>
        <v>0</v>
      </c>
      <c r="AG41" s="20">
        <f t="shared" si="2537"/>
        <v>0</v>
      </c>
      <c r="AH41" s="21">
        <f t="shared" si="2537"/>
        <v>0</v>
      </c>
      <c r="AI41" s="19">
        <v>0.0</v>
      </c>
      <c r="AJ41" s="20">
        <f t="shared" ref="AJ41:AL41" si="2538">AI41</f>
        <v>0</v>
      </c>
      <c r="AK41" s="20">
        <f t="shared" si="2538"/>
        <v>0</v>
      </c>
      <c r="AL41" s="21">
        <f t="shared" si="2538"/>
        <v>0</v>
      </c>
      <c r="AM41" s="19">
        <v>63268.4</v>
      </c>
      <c r="AN41" s="20">
        <v>0.0</v>
      </c>
      <c r="AO41" s="20">
        <f t="shared" ref="AO41:AP41" si="2539">AN41</f>
        <v>0</v>
      </c>
      <c r="AP41" s="21">
        <f t="shared" si="2539"/>
        <v>0</v>
      </c>
      <c r="AQ41" s="19">
        <v>0.0</v>
      </c>
      <c r="AR41" s="20">
        <f t="shared" ref="AR41:AT41" si="2540">AQ41</f>
        <v>0</v>
      </c>
      <c r="AS41" s="20">
        <f t="shared" si="2540"/>
        <v>0</v>
      </c>
      <c r="AT41" s="21">
        <f t="shared" si="2540"/>
        <v>0</v>
      </c>
      <c r="AU41" s="19">
        <v>78586.95</v>
      </c>
      <c r="AV41" s="20">
        <v>0.0</v>
      </c>
      <c r="AW41" s="20">
        <f t="shared" ref="AW41:AX41" si="2541">AV41</f>
        <v>0</v>
      </c>
      <c r="AX41" s="21">
        <f t="shared" si="2541"/>
        <v>0</v>
      </c>
      <c r="AY41" s="19">
        <v>0.0</v>
      </c>
      <c r="AZ41" s="20">
        <f t="shared" si="2053"/>
        <v>0</v>
      </c>
      <c r="BA41" s="20">
        <f t="shared" ref="BA41:BB41" si="2542">AZ41</f>
        <v>0</v>
      </c>
      <c r="BB41" s="21">
        <f t="shared" si="2542"/>
        <v>0</v>
      </c>
      <c r="BC41" s="19">
        <v>136453.2</v>
      </c>
      <c r="BD41" s="20">
        <v>0.0</v>
      </c>
      <c r="BE41" s="20">
        <f t="shared" ref="BE41:BF41" si="2543">BD41</f>
        <v>0</v>
      </c>
      <c r="BF41" s="21">
        <f t="shared" si="2543"/>
        <v>0</v>
      </c>
      <c r="BG41" s="19">
        <v>0.0</v>
      </c>
      <c r="BH41" s="20">
        <f t="shared" ref="BH41:BJ41" si="2544">BG41</f>
        <v>0</v>
      </c>
      <c r="BI41" s="20">
        <f t="shared" si="2544"/>
        <v>0</v>
      </c>
      <c r="BJ41" s="21">
        <f t="shared" si="2544"/>
        <v>0</v>
      </c>
      <c r="BK41" s="19">
        <v>197160.6</v>
      </c>
      <c r="BL41" s="20">
        <v>0.0</v>
      </c>
      <c r="BM41" s="20">
        <f t="shared" ref="BM41:BN41" si="2545">BL41</f>
        <v>0</v>
      </c>
      <c r="BN41" s="21">
        <f t="shared" si="2545"/>
        <v>0</v>
      </c>
      <c r="BO41" s="19">
        <v>31781.75</v>
      </c>
      <c r="BP41" s="20">
        <v>0.0</v>
      </c>
      <c r="BQ41" s="20">
        <f t="shared" ref="BQ41:BR41" si="2546">BP41</f>
        <v>0</v>
      </c>
      <c r="BR41" s="21">
        <f t="shared" si="2546"/>
        <v>0</v>
      </c>
      <c r="BS41" s="19">
        <v>10674.300000000001</v>
      </c>
      <c r="BT41" s="20">
        <v>0.0</v>
      </c>
      <c r="BU41" s="20">
        <f t="shared" ref="BU41:BV41" si="2547">BT41</f>
        <v>0</v>
      </c>
      <c r="BV41" s="21">
        <f t="shared" si="2547"/>
        <v>0</v>
      </c>
      <c r="BW41" s="19">
        <v>5820.1</v>
      </c>
      <c r="BX41" s="20">
        <v>0.0</v>
      </c>
      <c r="BY41" s="20">
        <f t="shared" ref="BY41:BZ41" si="2548">BX41</f>
        <v>0</v>
      </c>
      <c r="BZ41" s="21">
        <f t="shared" si="2548"/>
        <v>0</v>
      </c>
      <c r="CA41" s="19">
        <v>26676.0</v>
      </c>
      <c r="CB41" s="20">
        <v>0.0</v>
      </c>
      <c r="CC41" s="20">
        <f t="shared" ref="CC41:CD41" si="2549">CB41</f>
        <v>0</v>
      </c>
      <c r="CD41" s="21">
        <f t="shared" si="2549"/>
        <v>0</v>
      </c>
      <c r="CE41" s="19">
        <v>38472.85</v>
      </c>
      <c r="CF41" s="20">
        <v>0.0</v>
      </c>
      <c r="CG41" s="20">
        <f t="shared" ref="CG41:CH41" si="2550">CF41</f>
        <v>0</v>
      </c>
      <c r="CH41" s="21">
        <f t="shared" si="2550"/>
        <v>0</v>
      </c>
      <c r="CI41" s="19">
        <v>0.0</v>
      </c>
      <c r="CJ41" s="20">
        <v>0.0</v>
      </c>
      <c r="CK41" s="20">
        <f t="shared" ref="CK41:CL41" si="2551">CJ41</f>
        <v>0</v>
      </c>
      <c r="CL41" s="21">
        <f t="shared" si="2551"/>
        <v>0</v>
      </c>
      <c r="CM41" s="19">
        <v>5820.1</v>
      </c>
      <c r="CN41" s="20">
        <v>0.0</v>
      </c>
      <c r="CO41" s="20">
        <f t="shared" ref="CO41:CP41" si="2552">CN41</f>
        <v>0</v>
      </c>
      <c r="CP41" s="21">
        <f t="shared" si="2552"/>
        <v>0</v>
      </c>
      <c r="CQ41" s="19">
        <v>25310.350000000002</v>
      </c>
      <c r="CR41" s="20">
        <v>0.0</v>
      </c>
      <c r="CS41" s="20">
        <f t="shared" ref="CS41:CT41" si="2553">CR41</f>
        <v>0</v>
      </c>
      <c r="CT41" s="21">
        <f t="shared" si="2553"/>
        <v>0</v>
      </c>
      <c r="CU41" s="19">
        <v>6458.400000000001</v>
      </c>
      <c r="CV41" s="20">
        <v>0.0</v>
      </c>
      <c r="CW41" s="20">
        <f t="shared" ref="CW41:CX41" si="2554">CV41</f>
        <v>0</v>
      </c>
      <c r="CX41" s="21">
        <f t="shared" si="2554"/>
        <v>0</v>
      </c>
      <c r="CY41" s="19">
        <v>0.0</v>
      </c>
      <c r="CZ41" s="20">
        <v>0.0</v>
      </c>
      <c r="DA41" s="20">
        <f t="shared" ref="DA41:DB41" si="2555">CZ41</f>
        <v>0</v>
      </c>
      <c r="DB41" s="21">
        <f t="shared" si="2555"/>
        <v>0</v>
      </c>
      <c r="DC41" s="19">
        <v>28670.850000000002</v>
      </c>
      <c r="DD41" s="20">
        <v>0.0</v>
      </c>
      <c r="DE41" s="20">
        <f t="shared" ref="DE41:DF41" si="2556">DD41</f>
        <v>0</v>
      </c>
      <c r="DF41" s="21">
        <f t="shared" si="2556"/>
        <v>0</v>
      </c>
      <c r="DG41" s="19">
        <v>23778.3</v>
      </c>
      <c r="DH41" s="20">
        <v>0.0</v>
      </c>
      <c r="DI41" s="20">
        <f t="shared" ref="DI41:DJ41" si="2557">DH41</f>
        <v>0</v>
      </c>
      <c r="DJ41" s="21">
        <f t="shared" si="2557"/>
        <v>0</v>
      </c>
      <c r="DK41" s="19">
        <v>25915.5</v>
      </c>
      <c r="DL41" s="20">
        <v>0.0</v>
      </c>
      <c r="DM41" s="20">
        <f t="shared" ref="DM41:DN41" si="2558">DL41</f>
        <v>0</v>
      </c>
      <c r="DN41" s="21">
        <f t="shared" si="2558"/>
        <v>0</v>
      </c>
      <c r="DO41" s="19">
        <v>33982.65</v>
      </c>
      <c r="DP41" s="20">
        <f>-DP5*0.1</f>
        <v>24975</v>
      </c>
      <c r="DQ41" s="20">
        <f t="shared" ref="DQ41:DR41" si="2559">DP41</f>
        <v>24975</v>
      </c>
      <c r="DR41" s="21">
        <f t="shared" si="2559"/>
        <v>24975</v>
      </c>
      <c r="DS41" s="19">
        <v>17856.15</v>
      </c>
      <c r="DT41" s="20">
        <v>0.0</v>
      </c>
      <c r="DU41" s="20">
        <f t="shared" ref="DU41:DV41" si="2560">DT41</f>
        <v>0</v>
      </c>
      <c r="DV41" s="21">
        <f t="shared" si="2560"/>
        <v>0</v>
      </c>
      <c r="DW41" s="19">
        <v>5909.8</v>
      </c>
      <c r="DX41" s="20">
        <v>0.0</v>
      </c>
      <c r="DY41" s="20">
        <f t="shared" ref="DY41:DZ41" si="2561">DX41</f>
        <v>0</v>
      </c>
      <c r="DZ41" s="20">
        <f t="shared" si="2561"/>
        <v>0</v>
      </c>
      <c r="EA41" s="35">
        <v>83139.55</v>
      </c>
      <c r="EB41" s="20">
        <v>0.0</v>
      </c>
      <c r="EC41" s="20">
        <f t="shared" ref="EC41:ED41" si="2562">EB41</f>
        <v>0</v>
      </c>
      <c r="ED41" s="21">
        <f t="shared" si="2562"/>
        <v>0</v>
      </c>
      <c r="EE41" s="19">
        <v>15205.45</v>
      </c>
      <c r="EF41" s="20">
        <v>0.0</v>
      </c>
      <c r="EG41" s="20">
        <f t="shared" ref="EG41:EH41" si="2563">EF41</f>
        <v>0</v>
      </c>
      <c r="EH41" s="21">
        <f t="shared" si="2563"/>
        <v>0</v>
      </c>
      <c r="EI41" s="19">
        <v>0.0</v>
      </c>
      <c r="EJ41" s="21">
        <f t="shared" ref="EJ41:EK41" si="2564">EI41</f>
        <v>0</v>
      </c>
      <c r="EK41" s="21">
        <f t="shared" si="2564"/>
        <v>0</v>
      </c>
      <c r="EL41" s="21">
        <f t="shared" si="797"/>
        <v>0</v>
      </c>
      <c r="EM41" s="19">
        <v>4898.400000000001</v>
      </c>
      <c r="EN41" s="20">
        <v>0.0</v>
      </c>
      <c r="EO41" s="20">
        <f t="shared" ref="EO41:EP41" si="2565">EN41</f>
        <v>0</v>
      </c>
      <c r="EP41" s="21">
        <f t="shared" si="2565"/>
        <v>0</v>
      </c>
      <c r="EQ41" s="19">
        <v>19287.45</v>
      </c>
      <c r="ER41" s="20">
        <v>0.0</v>
      </c>
      <c r="ES41" s="20">
        <f t="shared" ref="ES41:ET41" si="2566">ER41</f>
        <v>0</v>
      </c>
      <c r="ET41" s="21">
        <f t="shared" si="2566"/>
        <v>0</v>
      </c>
      <c r="EU41" s="19">
        <v>0.0</v>
      </c>
      <c r="EV41" s="20">
        <f t="shared" ref="EV41:EX41" si="2567">EU41</f>
        <v>0</v>
      </c>
      <c r="EW41" s="20">
        <f t="shared" si="2567"/>
        <v>0</v>
      </c>
      <c r="EX41" s="21">
        <f t="shared" si="2567"/>
        <v>0</v>
      </c>
      <c r="EY41" s="19">
        <v>0.0</v>
      </c>
      <c r="EZ41" s="20">
        <f t="shared" ref="EZ41:FB41" si="2568">EY41</f>
        <v>0</v>
      </c>
      <c r="FA41" s="20">
        <f t="shared" si="2568"/>
        <v>0</v>
      </c>
      <c r="FB41" s="21">
        <f t="shared" si="2568"/>
        <v>0</v>
      </c>
      <c r="FC41" s="19">
        <v>0.0</v>
      </c>
      <c r="FD41" s="20">
        <f t="shared" ref="FD41:FF41" si="2569">FC41</f>
        <v>0</v>
      </c>
      <c r="FE41" s="20">
        <f t="shared" si="2569"/>
        <v>0</v>
      </c>
      <c r="FF41" s="21">
        <f t="shared" si="2569"/>
        <v>0</v>
      </c>
      <c r="FG41" s="19">
        <v>0.0</v>
      </c>
      <c r="FH41" s="20">
        <f t="shared" si="2092"/>
        <v>0</v>
      </c>
      <c r="FI41" s="20">
        <f t="shared" ref="FI41:FJ41" si="2570">FH41</f>
        <v>0</v>
      </c>
      <c r="FJ41" s="21">
        <f t="shared" si="2570"/>
        <v>0</v>
      </c>
      <c r="FK41" s="19">
        <v>0.0</v>
      </c>
      <c r="FL41" s="20">
        <f t="shared" si="2094"/>
        <v>0</v>
      </c>
      <c r="FM41" s="20">
        <f t="shared" ref="FM41:FN41" si="2571">FL41</f>
        <v>0</v>
      </c>
      <c r="FN41" s="21">
        <f t="shared" si="2571"/>
        <v>0</v>
      </c>
      <c r="FO41" s="19">
        <v>0.0</v>
      </c>
      <c r="FP41" s="20">
        <f t="shared" ref="FP41:FR41" si="2572">FO41</f>
        <v>0</v>
      </c>
      <c r="FQ41" s="20">
        <f t="shared" si="2572"/>
        <v>0</v>
      </c>
      <c r="FR41" s="21">
        <f t="shared" si="2572"/>
        <v>0</v>
      </c>
      <c r="FS41" s="19">
        <v>0.0</v>
      </c>
      <c r="FT41" s="20">
        <f t="shared" ref="FT41:FV41" si="2573">FS41</f>
        <v>0</v>
      </c>
      <c r="FU41" s="20">
        <f t="shared" si="2573"/>
        <v>0</v>
      </c>
      <c r="FV41" s="21">
        <f t="shared" si="2573"/>
        <v>0</v>
      </c>
      <c r="FW41" s="19">
        <v>0.0</v>
      </c>
      <c r="FX41" s="20">
        <f t="shared" si="2431"/>
        <v>0</v>
      </c>
      <c r="FY41" s="20">
        <f t="shared" ref="FY41:FZ41" si="2574">FX41</f>
        <v>0</v>
      </c>
      <c r="FZ41" s="21">
        <f t="shared" si="2574"/>
        <v>0</v>
      </c>
      <c r="GA41" s="19">
        <v>6458.400000000001</v>
      </c>
      <c r="GB41" s="20">
        <v>0.0</v>
      </c>
      <c r="GC41" s="20">
        <f t="shared" ref="GC41:GD41" si="2575">GB41</f>
        <v>0</v>
      </c>
      <c r="GD41" s="21">
        <f t="shared" si="2575"/>
        <v>0</v>
      </c>
      <c r="GE41" s="19">
        <v>0.0</v>
      </c>
      <c r="GF41" s="20">
        <f t="shared" ref="GF41:GH41" si="2576">GE41</f>
        <v>0</v>
      </c>
      <c r="GG41" s="20">
        <f t="shared" si="2576"/>
        <v>0</v>
      </c>
      <c r="GH41" s="21">
        <f t="shared" si="2576"/>
        <v>0</v>
      </c>
      <c r="GI41" s="19">
        <v>0.0</v>
      </c>
      <c r="GJ41" s="20">
        <f t="shared" si="2103"/>
        <v>0</v>
      </c>
      <c r="GK41" s="20">
        <f t="shared" ref="GK41:GL41" si="2577">GJ41</f>
        <v>0</v>
      </c>
      <c r="GL41" s="20">
        <f t="shared" si="2577"/>
        <v>0</v>
      </c>
      <c r="GM41" s="22">
        <v>0.0</v>
      </c>
      <c r="GN41" s="20">
        <f t="shared" ref="GN41:GP41" si="2578">GM41</f>
        <v>0</v>
      </c>
      <c r="GO41" s="20">
        <f t="shared" si="2578"/>
        <v>0</v>
      </c>
      <c r="GP41" s="21">
        <f t="shared" si="2578"/>
        <v>0</v>
      </c>
      <c r="GQ41" s="19">
        <v>0.0</v>
      </c>
      <c r="GR41" s="20">
        <f t="shared" si="2106"/>
        <v>0</v>
      </c>
      <c r="GS41" s="20">
        <f t="shared" ref="GS41:GT41" si="2579">GR41</f>
        <v>0</v>
      </c>
      <c r="GT41" s="21">
        <f t="shared" si="2579"/>
        <v>0</v>
      </c>
      <c r="GU41" s="19">
        <v>0.0</v>
      </c>
      <c r="GV41" s="20">
        <v>0.0</v>
      </c>
      <c r="GW41" s="20">
        <f t="shared" ref="GW41:GX41" si="2580">GV41</f>
        <v>0</v>
      </c>
      <c r="GX41" s="21">
        <f t="shared" si="2580"/>
        <v>0</v>
      </c>
      <c r="GY41" s="19">
        <v>6458.400000000001</v>
      </c>
      <c r="GZ41" s="20">
        <v>0.0</v>
      </c>
      <c r="HA41" s="20">
        <f t="shared" ref="HA41:HB41" si="2581">GZ41</f>
        <v>0</v>
      </c>
      <c r="HB41" s="21">
        <f t="shared" si="2581"/>
        <v>0</v>
      </c>
      <c r="HC41" s="19">
        <v>0.0</v>
      </c>
      <c r="HD41" s="20">
        <f t="shared" si="2510"/>
        <v>0</v>
      </c>
      <c r="HE41" s="20">
        <f t="shared" ref="HE41:HF41" si="2582">HD41</f>
        <v>0</v>
      </c>
      <c r="HF41" s="21">
        <f t="shared" si="2582"/>
        <v>0</v>
      </c>
      <c r="HG41" s="19">
        <v>0.0</v>
      </c>
      <c r="HH41" s="20">
        <f t="shared" ref="HH41:HJ41" si="2583">HG41</f>
        <v>0</v>
      </c>
      <c r="HI41" s="20">
        <f t="shared" si="2583"/>
        <v>0</v>
      </c>
      <c r="HJ41" s="21">
        <f t="shared" si="2583"/>
        <v>0</v>
      </c>
      <c r="HK41" s="19">
        <v>0.0</v>
      </c>
      <c r="HL41" s="20">
        <f t="shared" si="2113"/>
        <v>0</v>
      </c>
      <c r="HM41" s="20">
        <f t="shared" ref="HM41:HN41" si="2584">HL41</f>
        <v>0</v>
      </c>
      <c r="HN41" s="21">
        <f t="shared" si="2584"/>
        <v>0</v>
      </c>
      <c r="HO41" s="19">
        <v>0.0</v>
      </c>
      <c r="HP41" s="20">
        <f t="shared" ref="HP41:HR41" si="2585">HO41</f>
        <v>0</v>
      </c>
      <c r="HQ41" s="20">
        <f t="shared" si="2585"/>
        <v>0</v>
      </c>
      <c r="HR41" s="21">
        <f t="shared" si="2585"/>
        <v>0</v>
      </c>
      <c r="HS41" s="19">
        <v>0.0</v>
      </c>
      <c r="HT41" s="20">
        <f t="shared" ref="HT41:HV41" si="2586">HS41</f>
        <v>0</v>
      </c>
      <c r="HU41" s="20">
        <f t="shared" si="2586"/>
        <v>0</v>
      </c>
      <c r="HV41" s="21">
        <f t="shared" si="2586"/>
        <v>0</v>
      </c>
      <c r="HW41" s="19">
        <v>0.0</v>
      </c>
      <c r="HX41" s="20">
        <f t="shared" si="2118"/>
        <v>0</v>
      </c>
      <c r="HY41" s="20">
        <f t="shared" ref="HY41:HZ41" si="2587">HX41</f>
        <v>0</v>
      </c>
      <c r="HZ41" s="21">
        <f t="shared" si="2587"/>
        <v>0</v>
      </c>
      <c r="IA41" s="19">
        <v>0.0</v>
      </c>
      <c r="IB41" s="20">
        <f t="shared" si="1789"/>
        <v>0</v>
      </c>
      <c r="IC41" s="20">
        <f t="shared" ref="IC41:ID41" si="2588">IB41</f>
        <v>0</v>
      </c>
      <c r="ID41" s="21">
        <f t="shared" si="2588"/>
        <v>0</v>
      </c>
      <c r="IE41" s="19">
        <v>0.0</v>
      </c>
      <c r="IF41" s="20">
        <f t="shared" si="1929"/>
        <v>0</v>
      </c>
      <c r="IG41" s="20">
        <f t="shared" ref="IG41:IH41" si="2589">IF41</f>
        <v>0</v>
      </c>
      <c r="IH41" s="21">
        <f t="shared" si="2589"/>
        <v>0</v>
      </c>
      <c r="II41" s="19">
        <v>0.0</v>
      </c>
      <c r="IJ41" s="20">
        <f t="shared" si="2119"/>
        <v>0</v>
      </c>
      <c r="IK41" s="20">
        <f t="shared" ref="IK41:IL41" si="2590">IJ41</f>
        <v>0</v>
      </c>
      <c r="IL41" s="21">
        <f t="shared" si="2590"/>
        <v>0</v>
      </c>
      <c r="IM41" s="19">
        <v>0.0</v>
      </c>
      <c r="IN41" s="20">
        <f t="shared" si="2121"/>
        <v>0</v>
      </c>
      <c r="IO41" s="20">
        <f t="shared" ref="IO41:IP41" si="2591">IN41</f>
        <v>0</v>
      </c>
      <c r="IP41" s="21">
        <f t="shared" si="2591"/>
        <v>0</v>
      </c>
      <c r="IQ41" s="19">
        <v>0.0</v>
      </c>
      <c r="IR41" s="20">
        <f t="shared" si="2123"/>
        <v>0</v>
      </c>
      <c r="IS41" s="20">
        <f t="shared" ref="IS41:IT41" si="2592">IR41</f>
        <v>0</v>
      </c>
      <c r="IT41" s="21">
        <f t="shared" si="2592"/>
        <v>0</v>
      </c>
      <c r="IU41" s="19">
        <v>0.0</v>
      </c>
      <c r="IV41" s="20">
        <f t="shared" ref="IV41:IX41" si="2593">IU41</f>
        <v>0</v>
      </c>
      <c r="IW41" s="20">
        <f t="shared" si="2593"/>
        <v>0</v>
      </c>
      <c r="IX41" s="21">
        <f t="shared" si="2593"/>
        <v>0</v>
      </c>
      <c r="IY41" s="19">
        <v>0.0</v>
      </c>
      <c r="IZ41" s="20">
        <f t="shared" si="2126"/>
        <v>0</v>
      </c>
      <c r="JA41" s="20">
        <f t="shared" ref="JA41:JB41" si="2594">IZ41</f>
        <v>0</v>
      </c>
      <c r="JB41" s="21">
        <f t="shared" si="2594"/>
        <v>0</v>
      </c>
      <c r="JC41" s="19">
        <v>0.0</v>
      </c>
      <c r="JD41" s="20">
        <f t="shared" si="2128"/>
        <v>0</v>
      </c>
      <c r="JE41" s="20">
        <f t="shared" ref="JE41:JF41" si="2595">JD41</f>
        <v>0</v>
      </c>
      <c r="JF41" s="20">
        <f t="shared" si="2595"/>
        <v>0</v>
      </c>
      <c r="JG41" s="19">
        <v>0.0</v>
      </c>
      <c r="JH41" s="20">
        <f t="shared" si="2130"/>
        <v>0</v>
      </c>
      <c r="JI41" s="20">
        <f t="shared" ref="JI41:JJ41" si="2596">JH41</f>
        <v>0</v>
      </c>
      <c r="JJ41" s="21">
        <f t="shared" si="2596"/>
        <v>0</v>
      </c>
      <c r="JK41" s="19">
        <v>0.0</v>
      </c>
      <c r="JL41" s="20">
        <f t="shared" ref="JL41:JN41" si="2597">JK41</f>
        <v>0</v>
      </c>
      <c r="JM41" s="20">
        <f t="shared" si="2597"/>
        <v>0</v>
      </c>
      <c r="JN41" s="21">
        <f t="shared" si="2597"/>
        <v>0</v>
      </c>
      <c r="JO41" s="19">
        <v>0.0</v>
      </c>
      <c r="JP41" s="20">
        <f t="shared" ref="JP41:JR41" si="2598">JO41</f>
        <v>0</v>
      </c>
      <c r="JQ41" s="20">
        <f t="shared" si="2598"/>
        <v>0</v>
      </c>
      <c r="JR41" s="21">
        <f t="shared" si="2598"/>
        <v>0</v>
      </c>
      <c r="JS41" s="19">
        <v>0.0</v>
      </c>
      <c r="JT41" s="20">
        <f t="shared" ref="JT41:JV41" si="2599">JS41</f>
        <v>0</v>
      </c>
      <c r="JU41" s="20">
        <f t="shared" si="2599"/>
        <v>0</v>
      </c>
      <c r="JV41" s="21">
        <f t="shared" si="2599"/>
        <v>0</v>
      </c>
      <c r="JW41" s="19">
        <v>0.0</v>
      </c>
      <c r="JX41" s="20">
        <f t="shared" ref="JX41:JZ41" si="2600">JW41</f>
        <v>0</v>
      </c>
      <c r="JY41" s="20">
        <f t="shared" si="2600"/>
        <v>0</v>
      </c>
      <c r="JZ41" s="21">
        <f t="shared" si="2600"/>
        <v>0</v>
      </c>
    </row>
    <row r="42" ht="15.75" customHeight="1">
      <c r="A42" s="29" t="s">
        <v>120</v>
      </c>
      <c r="B42" s="18"/>
      <c r="C42" s="40">
        <f t="shared" ref="C42:EI42" si="2601">SUBTOTAL(9, C14:C41)</f>
        <v>694000</v>
      </c>
      <c r="D42" s="41">
        <f t="shared" si="2601"/>
        <v>556000</v>
      </c>
      <c r="E42" s="41">
        <f t="shared" si="2601"/>
        <v>554000</v>
      </c>
      <c r="F42" s="41">
        <f t="shared" si="2601"/>
        <v>554000</v>
      </c>
      <c r="G42" s="40">
        <f t="shared" si="2601"/>
        <v>61500</v>
      </c>
      <c r="H42" s="41">
        <f t="shared" si="2601"/>
        <v>61500</v>
      </c>
      <c r="I42" s="41">
        <f t="shared" si="2601"/>
        <v>61500</v>
      </c>
      <c r="J42" s="41">
        <f t="shared" si="2601"/>
        <v>65500</v>
      </c>
      <c r="K42" s="40">
        <f t="shared" si="2601"/>
        <v>3800000</v>
      </c>
      <c r="L42" s="41">
        <f t="shared" si="2601"/>
        <v>3250000</v>
      </c>
      <c r="M42" s="41">
        <f t="shared" si="2601"/>
        <v>3250000</v>
      </c>
      <c r="N42" s="41">
        <f t="shared" si="2601"/>
        <v>3800000</v>
      </c>
      <c r="O42" s="40">
        <f t="shared" si="2601"/>
        <v>39000</v>
      </c>
      <c r="P42" s="41">
        <f t="shared" si="2601"/>
        <v>36000</v>
      </c>
      <c r="Q42" s="41">
        <f t="shared" si="2601"/>
        <v>36000</v>
      </c>
      <c r="R42" s="41">
        <f t="shared" si="2601"/>
        <v>36000</v>
      </c>
      <c r="S42" s="40">
        <f t="shared" si="2601"/>
        <v>68300</v>
      </c>
      <c r="T42" s="41">
        <f t="shared" si="2601"/>
        <v>50000</v>
      </c>
      <c r="U42" s="41">
        <f t="shared" si="2601"/>
        <v>62300</v>
      </c>
      <c r="V42" s="41">
        <f t="shared" si="2601"/>
        <v>62300</v>
      </c>
      <c r="W42" s="40">
        <f t="shared" si="2601"/>
        <v>265393.8</v>
      </c>
      <c r="X42" s="41">
        <f t="shared" si="2601"/>
        <v>233640</v>
      </c>
      <c r="Y42" s="41">
        <f t="shared" si="2601"/>
        <v>233640</v>
      </c>
      <c r="Z42" s="41">
        <f t="shared" si="2601"/>
        <v>233640</v>
      </c>
      <c r="AA42" s="40">
        <f t="shared" si="2601"/>
        <v>226879</v>
      </c>
      <c r="AB42" s="41">
        <f t="shared" si="2601"/>
        <v>326879</v>
      </c>
      <c r="AC42" s="41">
        <f t="shared" si="2601"/>
        <v>326879</v>
      </c>
      <c r="AD42" s="41">
        <f t="shared" si="2601"/>
        <v>326879</v>
      </c>
      <c r="AE42" s="40">
        <f t="shared" si="2601"/>
        <v>65000</v>
      </c>
      <c r="AF42" s="41">
        <f t="shared" si="2601"/>
        <v>65000</v>
      </c>
      <c r="AG42" s="41">
        <f t="shared" si="2601"/>
        <v>65000</v>
      </c>
      <c r="AH42" s="41">
        <f t="shared" si="2601"/>
        <v>65000</v>
      </c>
      <c r="AI42" s="40">
        <f t="shared" si="2601"/>
        <v>19614</v>
      </c>
      <c r="AJ42" s="41">
        <f t="shared" si="2601"/>
        <v>0</v>
      </c>
      <c r="AK42" s="41">
        <f t="shared" si="2601"/>
        <v>19457.9</v>
      </c>
      <c r="AL42" s="41">
        <f t="shared" si="2601"/>
        <v>11592.9</v>
      </c>
      <c r="AM42" s="40">
        <f t="shared" si="2601"/>
        <v>465000</v>
      </c>
      <c r="AN42" s="41">
        <f t="shared" si="2601"/>
        <v>465000</v>
      </c>
      <c r="AO42" s="41">
        <f t="shared" si="2601"/>
        <v>465000</v>
      </c>
      <c r="AP42" s="41">
        <f t="shared" si="2601"/>
        <v>465000</v>
      </c>
      <c r="AQ42" s="40">
        <f t="shared" si="2601"/>
        <v>199400</v>
      </c>
      <c r="AR42" s="41">
        <f t="shared" si="2601"/>
        <v>60500</v>
      </c>
      <c r="AS42" s="41">
        <f t="shared" si="2601"/>
        <v>60500</v>
      </c>
      <c r="AT42" s="41">
        <f t="shared" si="2601"/>
        <v>60500</v>
      </c>
      <c r="AU42" s="40">
        <f t="shared" si="2601"/>
        <v>710150</v>
      </c>
      <c r="AV42" s="41">
        <f t="shared" si="2601"/>
        <v>577650</v>
      </c>
      <c r="AW42" s="41">
        <f t="shared" si="2601"/>
        <v>577650</v>
      </c>
      <c r="AX42" s="41">
        <f t="shared" si="2601"/>
        <v>577650</v>
      </c>
      <c r="AY42" s="40">
        <f t="shared" si="2601"/>
        <v>53550</v>
      </c>
      <c r="AZ42" s="41">
        <f t="shared" si="2601"/>
        <v>58905</v>
      </c>
      <c r="BA42" s="41">
        <f t="shared" si="2601"/>
        <v>58905</v>
      </c>
      <c r="BB42" s="41">
        <f t="shared" si="2601"/>
        <v>58905</v>
      </c>
      <c r="BC42" s="40">
        <f t="shared" si="2601"/>
        <v>1040240</v>
      </c>
      <c r="BD42" s="41">
        <f t="shared" si="2601"/>
        <v>1010640</v>
      </c>
      <c r="BE42" s="41">
        <f t="shared" si="2601"/>
        <v>1010640</v>
      </c>
      <c r="BF42" s="41">
        <f t="shared" si="2601"/>
        <v>1010640</v>
      </c>
      <c r="BG42" s="40">
        <f t="shared" si="2601"/>
        <v>85200</v>
      </c>
      <c r="BH42" s="41">
        <f t="shared" si="2601"/>
        <v>0</v>
      </c>
      <c r="BI42" s="41">
        <f t="shared" si="2601"/>
        <v>0</v>
      </c>
      <c r="BJ42" s="41">
        <f t="shared" si="2601"/>
        <v>22000</v>
      </c>
      <c r="BK42" s="40">
        <f t="shared" si="2601"/>
        <v>1449000</v>
      </c>
      <c r="BL42" s="41">
        <f t="shared" si="2601"/>
        <v>1449000</v>
      </c>
      <c r="BM42" s="41">
        <f t="shared" si="2601"/>
        <v>1449000</v>
      </c>
      <c r="BN42" s="41">
        <f t="shared" si="2601"/>
        <v>1449000</v>
      </c>
      <c r="BO42" s="40">
        <f t="shared" si="2601"/>
        <v>233610</v>
      </c>
      <c r="BP42" s="41">
        <f t="shared" si="2601"/>
        <v>233610</v>
      </c>
      <c r="BQ42" s="41">
        <f t="shared" si="2601"/>
        <v>233610</v>
      </c>
      <c r="BR42" s="41">
        <f t="shared" si="2601"/>
        <v>233610</v>
      </c>
      <c r="BS42" s="40">
        <f t="shared" si="2601"/>
        <v>78540</v>
      </c>
      <c r="BT42" s="41">
        <f t="shared" si="2601"/>
        <v>78540</v>
      </c>
      <c r="BU42" s="41">
        <f t="shared" si="2601"/>
        <v>78540</v>
      </c>
      <c r="BV42" s="41">
        <f t="shared" si="2601"/>
        <v>78540</v>
      </c>
      <c r="BW42" s="40">
        <f t="shared" si="2601"/>
        <v>42780</v>
      </c>
      <c r="BX42" s="41">
        <f t="shared" si="2601"/>
        <v>42780</v>
      </c>
      <c r="BY42" s="41">
        <f t="shared" si="2601"/>
        <v>42780</v>
      </c>
      <c r="BZ42" s="41">
        <f t="shared" si="2601"/>
        <v>42780</v>
      </c>
      <c r="CA42" s="40">
        <f t="shared" si="2601"/>
        <v>196080</v>
      </c>
      <c r="CB42" s="41">
        <f t="shared" si="2601"/>
        <v>196080</v>
      </c>
      <c r="CC42" s="41">
        <f t="shared" si="2601"/>
        <v>196080</v>
      </c>
      <c r="CD42" s="41">
        <f t="shared" si="2601"/>
        <v>196080</v>
      </c>
      <c r="CE42" s="40">
        <f t="shared" si="2601"/>
        <v>353622.85</v>
      </c>
      <c r="CF42" s="41">
        <f t="shared" si="2601"/>
        <v>300150</v>
      </c>
      <c r="CG42" s="41">
        <f t="shared" si="2601"/>
        <v>300150</v>
      </c>
      <c r="CH42" s="41">
        <f t="shared" si="2601"/>
        <v>300150</v>
      </c>
      <c r="CI42" s="40">
        <f t="shared" si="2601"/>
        <v>212610</v>
      </c>
      <c r="CJ42" s="41">
        <f t="shared" si="2601"/>
        <v>212610</v>
      </c>
      <c r="CK42" s="41">
        <f t="shared" si="2601"/>
        <v>212610</v>
      </c>
      <c r="CL42" s="41">
        <f t="shared" si="2601"/>
        <v>212610</v>
      </c>
      <c r="CM42" s="40">
        <f t="shared" si="2601"/>
        <v>42780</v>
      </c>
      <c r="CN42" s="41">
        <f t="shared" si="2601"/>
        <v>42780</v>
      </c>
      <c r="CO42" s="41">
        <f t="shared" si="2601"/>
        <v>42780</v>
      </c>
      <c r="CP42" s="41">
        <f t="shared" si="2601"/>
        <v>42780</v>
      </c>
      <c r="CQ42" s="40">
        <f t="shared" si="2601"/>
        <v>211180</v>
      </c>
      <c r="CR42" s="41">
        <f t="shared" si="2601"/>
        <v>226180</v>
      </c>
      <c r="CS42" s="41">
        <f t="shared" si="2601"/>
        <v>226180</v>
      </c>
      <c r="CT42" s="41">
        <f t="shared" si="2601"/>
        <v>226180</v>
      </c>
      <c r="CU42" s="40">
        <f t="shared" si="2601"/>
        <v>92858.4</v>
      </c>
      <c r="CV42" s="41">
        <f t="shared" si="2601"/>
        <v>47520</v>
      </c>
      <c r="CW42" s="41">
        <f t="shared" si="2601"/>
        <v>47520</v>
      </c>
      <c r="CX42" s="41">
        <f t="shared" si="2601"/>
        <v>47520</v>
      </c>
      <c r="CY42" s="40">
        <f t="shared" si="2601"/>
        <v>720950</v>
      </c>
      <c r="CZ42" s="41">
        <f t="shared" si="2601"/>
        <v>720250</v>
      </c>
      <c r="DA42" s="41">
        <f t="shared" si="2601"/>
        <v>720250</v>
      </c>
      <c r="DB42" s="41">
        <f t="shared" si="2601"/>
        <v>720250</v>
      </c>
      <c r="DC42" s="40">
        <f t="shared" si="2601"/>
        <v>210750</v>
      </c>
      <c r="DD42" s="41">
        <f t="shared" si="2601"/>
        <v>210750</v>
      </c>
      <c r="DE42" s="41">
        <f t="shared" si="2601"/>
        <v>210750</v>
      </c>
      <c r="DF42" s="41">
        <f t="shared" si="2601"/>
        <v>210750</v>
      </c>
      <c r="DG42" s="40">
        <f t="shared" si="2601"/>
        <v>174780</v>
      </c>
      <c r="DH42" s="41">
        <f t="shared" si="2601"/>
        <v>174780</v>
      </c>
      <c r="DI42" s="41">
        <f t="shared" si="2601"/>
        <v>174780</v>
      </c>
      <c r="DJ42" s="41">
        <f t="shared" si="2601"/>
        <v>174780</v>
      </c>
      <c r="DK42" s="40">
        <f t="shared" si="2601"/>
        <v>190500</v>
      </c>
      <c r="DL42" s="41">
        <f t="shared" si="2601"/>
        <v>190500</v>
      </c>
      <c r="DM42" s="41">
        <f t="shared" si="2601"/>
        <v>190500</v>
      </c>
      <c r="DN42" s="41">
        <f t="shared" si="2601"/>
        <v>190500</v>
      </c>
      <c r="DO42" s="40">
        <f t="shared" si="2601"/>
        <v>249750</v>
      </c>
      <c r="DP42" s="41">
        <f t="shared" si="2601"/>
        <v>249750</v>
      </c>
      <c r="DQ42" s="41">
        <f t="shared" si="2601"/>
        <v>249750</v>
      </c>
      <c r="DR42" s="41">
        <f t="shared" si="2601"/>
        <v>249750</v>
      </c>
      <c r="DS42" s="40">
        <f t="shared" si="2601"/>
        <v>131250</v>
      </c>
      <c r="DT42" s="41">
        <f t="shared" si="2601"/>
        <v>131250</v>
      </c>
      <c r="DU42" s="41">
        <f t="shared" si="2601"/>
        <v>131250</v>
      </c>
      <c r="DV42" s="41">
        <f t="shared" si="2601"/>
        <v>131250</v>
      </c>
      <c r="DW42" s="40">
        <f t="shared" si="2601"/>
        <v>55909.8</v>
      </c>
      <c r="DX42" s="41">
        <f t="shared" si="2601"/>
        <v>43440</v>
      </c>
      <c r="DY42" s="41">
        <f t="shared" si="2601"/>
        <v>43440</v>
      </c>
      <c r="DZ42" s="41">
        <f t="shared" si="2601"/>
        <v>43440</v>
      </c>
      <c r="EA42" s="40">
        <f t="shared" si="2601"/>
        <v>757568</v>
      </c>
      <c r="EB42" s="41">
        <f t="shared" si="2601"/>
        <v>661250</v>
      </c>
      <c r="EC42" s="41">
        <f t="shared" si="2601"/>
        <v>661250</v>
      </c>
      <c r="ED42" s="41">
        <f t="shared" si="2601"/>
        <v>661250</v>
      </c>
      <c r="EE42" s="40">
        <f t="shared" si="2601"/>
        <v>111750</v>
      </c>
      <c r="EF42" s="41">
        <f t="shared" si="2601"/>
        <v>111750</v>
      </c>
      <c r="EG42" s="41">
        <f t="shared" si="2601"/>
        <v>111750</v>
      </c>
      <c r="EH42" s="41">
        <f t="shared" si="2601"/>
        <v>111750</v>
      </c>
      <c r="EI42" s="42">
        <f t="shared" si="2601"/>
        <v>36000</v>
      </c>
      <c r="EJ42" s="43">
        <f t="shared" ref="EJ42:EK42" si="2602">EI42</f>
        <v>36000</v>
      </c>
      <c r="EK42" s="43">
        <f t="shared" si="2602"/>
        <v>36000</v>
      </c>
      <c r="EL42" s="41">
        <f t="shared" ref="EL42:JZ42" si="2603">SUBTOTAL(9, EL14:EL41)</f>
        <v>36000</v>
      </c>
      <c r="EM42" s="40">
        <f t="shared" si="2603"/>
        <v>36000</v>
      </c>
      <c r="EN42" s="41">
        <f t="shared" si="2603"/>
        <v>36000</v>
      </c>
      <c r="EO42" s="41">
        <f t="shared" si="2603"/>
        <v>36000</v>
      </c>
      <c r="EP42" s="41">
        <f t="shared" si="2603"/>
        <v>36000</v>
      </c>
      <c r="EQ42" s="40">
        <f t="shared" si="2603"/>
        <v>141750</v>
      </c>
      <c r="ER42" s="41">
        <f t="shared" si="2603"/>
        <v>141750</v>
      </c>
      <c r="ES42" s="41">
        <f t="shared" si="2603"/>
        <v>141750</v>
      </c>
      <c r="ET42" s="41">
        <f t="shared" si="2603"/>
        <v>141750</v>
      </c>
      <c r="EU42" s="40">
        <f t="shared" si="2603"/>
        <v>54800</v>
      </c>
      <c r="EV42" s="41">
        <f t="shared" si="2603"/>
        <v>0</v>
      </c>
      <c r="EW42" s="41">
        <f t="shared" si="2603"/>
        <v>53240</v>
      </c>
      <c r="EX42" s="41">
        <f t="shared" si="2603"/>
        <v>53240</v>
      </c>
      <c r="EY42" s="40">
        <f t="shared" si="2603"/>
        <v>30100</v>
      </c>
      <c r="EZ42" s="41">
        <f t="shared" si="2603"/>
        <v>23210</v>
      </c>
      <c r="FA42" s="41">
        <f t="shared" si="2603"/>
        <v>26510</v>
      </c>
      <c r="FB42" s="41">
        <f t="shared" si="2603"/>
        <v>26510</v>
      </c>
      <c r="FC42" s="40">
        <f t="shared" si="2603"/>
        <v>70000</v>
      </c>
      <c r="FD42" s="41">
        <f t="shared" si="2603"/>
        <v>77000</v>
      </c>
      <c r="FE42" s="41">
        <f t="shared" si="2603"/>
        <v>77000</v>
      </c>
      <c r="FF42" s="41">
        <f t="shared" si="2603"/>
        <v>77000</v>
      </c>
      <c r="FG42" s="40">
        <f t="shared" si="2603"/>
        <v>43300</v>
      </c>
      <c r="FH42" s="41">
        <f t="shared" si="2603"/>
        <v>47630</v>
      </c>
      <c r="FI42" s="41">
        <f t="shared" si="2603"/>
        <v>49610</v>
      </c>
      <c r="FJ42" s="41">
        <f t="shared" si="2603"/>
        <v>49610</v>
      </c>
      <c r="FK42" s="40">
        <f t="shared" si="2603"/>
        <v>13600</v>
      </c>
      <c r="FL42" s="41">
        <f t="shared" si="2603"/>
        <v>14960</v>
      </c>
      <c r="FM42" s="41">
        <f t="shared" si="2603"/>
        <v>14960</v>
      </c>
      <c r="FN42" s="41">
        <f t="shared" si="2603"/>
        <v>14960</v>
      </c>
      <c r="FO42" s="40">
        <f t="shared" si="2603"/>
        <v>20800</v>
      </c>
      <c r="FP42" s="41">
        <f t="shared" si="2603"/>
        <v>11880</v>
      </c>
      <c r="FQ42" s="41">
        <f t="shared" si="2603"/>
        <v>12375</v>
      </c>
      <c r="FR42" s="41">
        <f t="shared" si="2603"/>
        <v>12375</v>
      </c>
      <c r="FS42" s="40">
        <f t="shared" si="2603"/>
        <v>124800</v>
      </c>
      <c r="FT42" s="41">
        <f t="shared" si="2603"/>
        <v>33000</v>
      </c>
      <c r="FU42" s="41">
        <f t="shared" si="2603"/>
        <v>99000</v>
      </c>
      <c r="FV42" s="41">
        <f t="shared" si="2603"/>
        <v>126280</v>
      </c>
      <c r="FW42" s="40">
        <f t="shared" si="2603"/>
        <v>34700</v>
      </c>
      <c r="FX42" s="41">
        <f t="shared" si="2603"/>
        <v>27500</v>
      </c>
      <c r="FY42" s="41">
        <f t="shared" si="2603"/>
        <v>32791</v>
      </c>
      <c r="FZ42" s="41">
        <f t="shared" si="2603"/>
        <v>32791</v>
      </c>
      <c r="GA42" s="40">
        <f t="shared" si="2603"/>
        <v>47610</v>
      </c>
      <c r="GB42" s="41">
        <f t="shared" si="2603"/>
        <v>47610</v>
      </c>
      <c r="GC42" s="41">
        <f t="shared" si="2603"/>
        <v>47610</v>
      </c>
      <c r="GD42" s="41">
        <f t="shared" si="2603"/>
        <v>47610</v>
      </c>
      <c r="GE42" s="40">
        <f t="shared" si="2603"/>
        <v>16000</v>
      </c>
      <c r="GF42" s="41">
        <f t="shared" si="2603"/>
        <v>12925</v>
      </c>
      <c r="GG42" s="41">
        <f t="shared" si="2603"/>
        <v>17600</v>
      </c>
      <c r="GH42" s="41">
        <f t="shared" si="2603"/>
        <v>17600</v>
      </c>
      <c r="GI42" s="40">
        <f t="shared" si="2603"/>
        <v>83350</v>
      </c>
      <c r="GJ42" s="41">
        <f t="shared" si="2603"/>
        <v>91685</v>
      </c>
      <c r="GK42" s="41">
        <f t="shared" si="2603"/>
        <v>91685</v>
      </c>
      <c r="GL42" s="41">
        <f t="shared" si="2603"/>
        <v>91685</v>
      </c>
      <c r="GM42" s="42">
        <f t="shared" si="2603"/>
        <v>0</v>
      </c>
      <c r="GN42" s="41">
        <f t="shared" si="2603"/>
        <v>0</v>
      </c>
      <c r="GO42" s="41">
        <f t="shared" si="2603"/>
        <v>0</v>
      </c>
      <c r="GP42" s="41">
        <f t="shared" si="2603"/>
        <v>0</v>
      </c>
      <c r="GQ42" s="40">
        <f t="shared" si="2603"/>
        <v>20000</v>
      </c>
      <c r="GR42" s="41">
        <f t="shared" si="2603"/>
        <v>22000</v>
      </c>
      <c r="GS42" s="41">
        <f t="shared" si="2603"/>
        <v>22000</v>
      </c>
      <c r="GT42" s="41">
        <f t="shared" si="2603"/>
        <v>27500</v>
      </c>
      <c r="GU42" s="40">
        <f t="shared" si="2603"/>
        <v>17200</v>
      </c>
      <c r="GV42" s="41">
        <f t="shared" si="2603"/>
        <v>0</v>
      </c>
      <c r="GW42" s="41">
        <f t="shared" si="2603"/>
        <v>20273</v>
      </c>
      <c r="GX42" s="41">
        <f t="shared" si="2603"/>
        <v>0</v>
      </c>
      <c r="GY42" s="40">
        <f t="shared" si="2603"/>
        <v>47610</v>
      </c>
      <c r="GZ42" s="41">
        <f t="shared" si="2603"/>
        <v>47610</v>
      </c>
      <c r="HA42" s="41">
        <f t="shared" si="2603"/>
        <v>47610</v>
      </c>
      <c r="HB42" s="41">
        <f t="shared" si="2603"/>
        <v>47610</v>
      </c>
      <c r="HC42" s="40">
        <f t="shared" si="2603"/>
        <v>69500</v>
      </c>
      <c r="HD42" s="41">
        <f t="shared" si="2603"/>
        <v>60500</v>
      </c>
      <c r="HE42" s="41">
        <f t="shared" si="2603"/>
        <v>60500</v>
      </c>
      <c r="HF42" s="41">
        <f t="shared" si="2603"/>
        <v>60500</v>
      </c>
      <c r="HG42" s="40">
        <f t="shared" si="2603"/>
        <v>61159.4</v>
      </c>
      <c r="HH42" s="41">
        <f t="shared" si="2603"/>
        <v>12275.34</v>
      </c>
      <c r="HI42" s="41">
        <f t="shared" si="2603"/>
        <v>12275.34</v>
      </c>
      <c r="HJ42" s="41">
        <f t="shared" si="2603"/>
        <v>12275.34</v>
      </c>
      <c r="HK42" s="40">
        <f t="shared" si="2603"/>
        <v>9400</v>
      </c>
      <c r="HL42" s="41">
        <f t="shared" si="2603"/>
        <v>10340</v>
      </c>
      <c r="HM42" s="41">
        <f t="shared" si="2603"/>
        <v>10340</v>
      </c>
      <c r="HN42" s="41">
        <f t="shared" si="2603"/>
        <v>10340</v>
      </c>
      <c r="HO42" s="40">
        <f t="shared" si="2603"/>
        <v>84175</v>
      </c>
      <c r="HP42" s="41">
        <f t="shared" si="2603"/>
        <v>33000</v>
      </c>
      <c r="HQ42" s="41">
        <f t="shared" si="2603"/>
        <v>62282</v>
      </c>
      <c r="HR42" s="41">
        <f t="shared" si="2603"/>
        <v>62282</v>
      </c>
      <c r="HS42" s="40">
        <f t="shared" si="2603"/>
        <v>212050</v>
      </c>
      <c r="HT42" s="41">
        <f t="shared" si="2603"/>
        <v>233255</v>
      </c>
      <c r="HU42" s="41">
        <f t="shared" si="2603"/>
        <v>233255</v>
      </c>
      <c r="HV42" s="41">
        <f t="shared" si="2603"/>
        <v>233255</v>
      </c>
      <c r="HW42" s="40">
        <f t="shared" si="2603"/>
        <v>15000</v>
      </c>
      <c r="HX42" s="41">
        <f t="shared" si="2603"/>
        <v>14520</v>
      </c>
      <c r="HY42" s="41">
        <f t="shared" si="2603"/>
        <v>7260</v>
      </c>
      <c r="HZ42" s="41">
        <f t="shared" si="2603"/>
        <v>14520</v>
      </c>
      <c r="IA42" s="40">
        <f t="shared" si="2603"/>
        <v>9200</v>
      </c>
      <c r="IB42" s="41">
        <f t="shared" si="2603"/>
        <v>8030</v>
      </c>
      <c r="IC42" s="41">
        <f t="shared" si="2603"/>
        <v>6490</v>
      </c>
      <c r="ID42" s="41">
        <f t="shared" si="2603"/>
        <v>14190</v>
      </c>
      <c r="IE42" s="40">
        <f t="shared" si="2603"/>
        <v>5400</v>
      </c>
      <c r="IF42" s="41">
        <f t="shared" si="2603"/>
        <v>5940</v>
      </c>
      <c r="IG42" s="41">
        <f t="shared" si="2603"/>
        <v>6640</v>
      </c>
      <c r="IH42" s="41">
        <f t="shared" si="2603"/>
        <v>11550</v>
      </c>
      <c r="II42" s="40">
        <f t="shared" si="2603"/>
        <v>27500</v>
      </c>
      <c r="IJ42" s="41">
        <f t="shared" si="2603"/>
        <v>30250</v>
      </c>
      <c r="IK42" s="41">
        <f t="shared" si="2603"/>
        <v>30250</v>
      </c>
      <c r="IL42" s="41">
        <f t="shared" si="2603"/>
        <v>30250</v>
      </c>
      <c r="IM42" s="40">
        <f t="shared" si="2603"/>
        <v>36600</v>
      </c>
      <c r="IN42" s="41">
        <f t="shared" si="2603"/>
        <v>40260</v>
      </c>
      <c r="IO42" s="41">
        <f t="shared" si="2603"/>
        <v>38940</v>
      </c>
      <c r="IP42" s="41">
        <f t="shared" si="2603"/>
        <v>38940</v>
      </c>
      <c r="IQ42" s="40">
        <f t="shared" si="2603"/>
        <v>54000</v>
      </c>
      <c r="IR42" s="41">
        <f t="shared" si="2603"/>
        <v>59400</v>
      </c>
      <c r="IS42" s="41">
        <f t="shared" si="2603"/>
        <v>58980</v>
      </c>
      <c r="IT42" s="41">
        <f t="shared" si="2603"/>
        <v>58980</v>
      </c>
      <c r="IU42" s="40">
        <f t="shared" si="2603"/>
        <v>35700</v>
      </c>
      <c r="IV42" s="41">
        <f t="shared" si="2603"/>
        <v>29700</v>
      </c>
      <c r="IW42" s="41">
        <f t="shared" si="2603"/>
        <v>25300</v>
      </c>
      <c r="IX42" s="41">
        <f t="shared" si="2603"/>
        <v>22770</v>
      </c>
      <c r="IY42" s="40">
        <f t="shared" si="2603"/>
        <v>40000</v>
      </c>
      <c r="IZ42" s="41">
        <f t="shared" si="2603"/>
        <v>44000</v>
      </c>
      <c r="JA42" s="41">
        <f t="shared" si="2603"/>
        <v>44000</v>
      </c>
      <c r="JB42" s="41">
        <f t="shared" si="2603"/>
        <v>44000</v>
      </c>
      <c r="JC42" s="40">
        <f t="shared" si="2603"/>
        <v>100000</v>
      </c>
      <c r="JD42" s="41">
        <f t="shared" si="2603"/>
        <v>110000</v>
      </c>
      <c r="JE42" s="41">
        <f t="shared" si="2603"/>
        <v>107090</v>
      </c>
      <c r="JF42" s="41">
        <f t="shared" si="2603"/>
        <v>106799</v>
      </c>
      <c r="JG42" s="40">
        <f t="shared" si="2603"/>
        <v>50000</v>
      </c>
      <c r="JH42" s="41">
        <f t="shared" si="2603"/>
        <v>55000</v>
      </c>
      <c r="JI42" s="41">
        <f t="shared" si="2603"/>
        <v>55000</v>
      </c>
      <c r="JJ42" s="41">
        <f t="shared" si="2603"/>
        <v>55000</v>
      </c>
      <c r="JK42" s="40">
        <f t="shared" si="2603"/>
        <v>25000</v>
      </c>
      <c r="JL42" s="41">
        <f t="shared" si="2603"/>
        <v>22000</v>
      </c>
      <c r="JM42" s="41">
        <f t="shared" si="2603"/>
        <v>22000</v>
      </c>
      <c r="JN42" s="41">
        <f t="shared" si="2603"/>
        <v>22000</v>
      </c>
      <c r="JO42" s="40">
        <f t="shared" si="2603"/>
        <v>9450</v>
      </c>
      <c r="JP42" s="41">
        <f t="shared" si="2603"/>
        <v>0</v>
      </c>
      <c r="JQ42" s="41">
        <f t="shared" si="2603"/>
        <v>10395</v>
      </c>
      <c r="JR42" s="41">
        <f t="shared" si="2603"/>
        <v>10395</v>
      </c>
      <c r="JS42" s="40">
        <f t="shared" si="2603"/>
        <v>1000</v>
      </c>
      <c r="JT42" s="41">
        <f t="shared" si="2603"/>
        <v>1100</v>
      </c>
      <c r="JU42" s="41">
        <f t="shared" si="2603"/>
        <v>1100</v>
      </c>
      <c r="JV42" s="41">
        <f t="shared" si="2603"/>
        <v>1100</v>
      </c>
      <c r="JW42" s="40">
        <f t="shared" si="2603"/>
        <v>53475</v>
      </c>
      <c r="JX42" s="41">
        <f t="shared" si="2603"/>
        <v>58822.5</v>
      </c>
      <c r="JY42" s="41">
        <f t="shared" si="2603"/>
        <v>58822.5</v>
      </c>
      <c r="JZ42" s="41">
        <f t="shared" si="2603"/>
        <v>58822.5</v>
      </c>
    </row>
  </sheetData>
  <conditionalFormatting sqref="B3:JZ42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27.38"/>
    <col customWidth="1" min="3" max="3" width="19.38"/>
    <col customWidth="1" min="4" max="4" width="13.75"/>
    <col customWidth="1" min="5" max="5" width="23.88"/>
    <col customWidth="1" min="6" max="7" width="13.75"/>
    <col customWidth="1" min="8" max="8" width="21.0"/>
    <col customWidth="1" min="9" max="9" width="19.13"/>
    <col customWidth="1" min="10" max="10" width="14.13"/>
    <col customWidth="1" min="11" max="11" width="20.63"/>
    <col customWidth="1" min="12" max="12" width="18.88"/>
    <col customWidth="1" min="13" max="13" width="11.38"/>
    <col customWidth="1" min="14" max="14" width="14.75"/>
    <col customWidth="1" min="15" max="17" width="9.88"/>
  </cols>
  <sheetData>
    <row r="1" ht="14.25" customHeight="1">
      <c r="A1" s="44" t="s">
        <v>121</v>
      </c>
      <c r="B1" s="45"/>
      <c r="C1" s="46"/>
      <c r="D1" s="47"/>
      <c r="E1" s="48" t="s">
        <v>122</v>
      </c>
      <c r="G1" s="47"/>
      <c r="H1" s="48" t="s">
        <v>123</v>
      </c>
      <c r="J1" s="49"/>
      <c r="K1" s="49"/>
      <c r="L1" s="49"/>
      <c r="M1" s="50"/>
    </row>
    <row r="2" ht="24.0" customHeight="1">
      <c r="A2" s="51" t="s">
        <v>124</v>
      </c>
      <c r="B2" s="52" t="s">
        <v>125</v>
      </c>
      <c r="C2" s="52" t="s">
        <v>126</v>
      </c>
      <c r="D2" s="53"/>
      <c r="E2" s="54" t="s">
        <v>127</v>
      </c>
      <c r="F2" s="55" t="s">
        <v>128</v>
      </c>
      <c r="G2" s="53"/>
      <c r="H2" s="56" t="s">
        <v>129</v>
      </c>
      <c r="I2" s="57" t="s">
        <v>128</v>
      </c>
      <c r="J2" s="58"/>
      <c r="K2" s="58"/>
      <c r="L2" s="58"/>
    </row>
    <row r="3" ht="14.25" customHeight="1">
      <c r="A3" s="59" t="s">
        <v>130</v>
      </c>
      <c r="B3" s="60">
        <v>107747.3220768</v>
      </c>
      <c r="C3" s="61">
        <v>0.7308867323076923</v>
      </c>
      <c r="D3" s="62"/>
      <c r="E3" s="63" t="s">
        <v>131</v>
      </c>
      <c r="F3" s="64">
        <v>3800000.0</v>
      </c>
      <c r="G3" s="65"/>
      <c r="H3" s="66" t="s">
        <v>132</v>
      </c>
      <c r="I3" s="64">
        <v>5011026.0847208</v>
      </c>
      <c r="J3" s="67"/>
      <c r="K3" s="65"/>
      <c r="L3" s="65"/>
    </row>
    <row r="4" ht="14.25" customHeight="1">
      <c r="A4" s="59" t="s">
        <v>133</v>
      </c>
      <c r="B4" s="68">
        <v>264614.983884</v>
      </c>
      <c r="C4" s="69">
        <v>1.3344174678971255</v>
      </c>
      <c r="D4" s="62"/>
      <c r="E4" s="66" t="s">
        <v>134</v>
      </c>
      <c r="F4" s="70">
        <v>2775196.0</v>
      </c>
      <c r="G4" s="65"/>
      <c r="H4" s="66" t="s">
        <v>135</v>
      </c>
      <c r="I4" s="70">
        <v>1621554.0</v>
      </c>
      <c r="J4" s="67"/>
      <c r="K4" s="65"/>
      <c r="L4" s="65"/>
    </row>
    <row r="5" ht="14.25" customHeight="1">
      <c r="A5" s="59" t="s">
        <v>136</v>
      </c>
      <c r="B5" s="68">
        <v>126853.17549599998</v>
      </c>
      <c r="C5" s="69">
        <v>0.69741698551872</v>
      </c>
      <c r="D5" s="62"/>
      <c r="E5" s="66" t="s">
        <v>137</v>
      </c>
      <c r="F5" s="71">
        <f>B30</f>
        <v>157384</v>
      </c>
      <c r="G5" s="65"/>
      <c r="H5" s="66" t="s">
        <v>138</v>
      </c>
      <c r="I5" s="71">
        <v>100000.0</v>
      </c>
      <c r="J5" s="67"/>
      <c r="K5" s="65"/>
      <c r="L5" s="65"/>
    </row>
    <row r="6" ht="14.25" customHeight="1">
      <c r="A6" s="72" t="s">
        <v>139</v>
      </c>
      <c r="B6" s="68">
        <v>301392.0</v>
      </c>
      <c r="C6" s="69">
        <v>0.2</v>
      </c>
      <c r="D6" s="62"/>
      <c r="E6" s="73" t="s">
        <v>140</v>
      </c>
      <c r="F6" s="74">
        <f>SUBTOTAL(9, F3:F5)</f>
        <v>6732580</v>
      </c>
      <c r="G6" s="65"/>
      <c r="H6" s="73" t="s">
        <v>141</v>
      </c>
      <c r="I6" s="74">
        <f>SUBTOTAL(9,I3:I5)</f>
        <v>6732580.085</v>
      </c>
      <c r="J6" s="67"/>
      <c r="K6" s="65"/>
      <c r="L6" s="65"/>
    </row>
    <row r="7" ht="14.25" customHeight="1">
      <c r="A7" s="72" t="s">
        <v>142</v>
      </c>
      <c r="B7" s="68">
        <v>210252.0</v>
      </c>
      <c r="C7" s="69">
        <v>0.2</v>
      </c>
      <c r="D7" s="62"/>
      <c r="E7" s="75"/>
      <c r="F7" s="76"/>
      <c r="G7" s="65"/>
      <c r="H7" s="77"/>
      <c r="I7" s="78"/>
      <c r="J7" s="67"/>
      <c r="K7" s="65"/>
      <c r="L7" s="65"/>
    </row>
    <row r="8" ht="14.25" customHeight="1">
      <c r="A8" s="59" t="s">
        <v>143</v>
      </c>
      <c r="B8" s="68">
        <v>565287.9164400001</v>
      </c>
      <c r="C8" s="61">
        <v>0.9403129172114378</v>
      </c>
      <c r="D8" s="62"/>
      <c r="E8" s="63" t="s">
        <v>144</v>
      </c>
      <c r="F8" s="79">
        <v>-5011026.0</v>
      </c>
      <c r="G8" s="65"/>
      <c r="H8" s="80"/>
      <c r="I8" s="81"/>
      <c r="J8" s="67"/>
      <c r="K8" s="65"/>
      <c r="L8" s="65"/>
    </row>
    <row r="9" ht="14.25" customHeight="1">
      <c r="A9" s="72" t="s">
        <v>145</v>
      </c>
      <c r="B9" s="68">
        <v>113613.45223680002</v>
      </c>
      <c r="C9" s="61">
        <v>0.465133268798821</v>
      </c>
      <c r="D9" s="62"/>
      <c r="E9" s="63" t="s">
        <v>146</v>
      </c>
      <c r="F9" s="79">
        <v>-1621554.0</v>
      </c>
      <c r="G9" s="65"/>
      <c r="H9" s="65"/>
      <c r="I9" s="82"/>
      <c r="J9" s="67"/>
      <c r="K9" s="65"/>
      <c r="L9" s="65"/>
    </row>
    <row r="10" ht="14.25" customHeight="1">
      <c r="A10" s="72" t="s">
        <v>147</v>
      </c>
      <c r="B10" s="83">
        <v>43872.0</v>
      </c>
      <c r="C10" s="84">
        <v>0.2</v>
      </c>
      <c r="D10" s="62"/>
      <c r="E10" s="63" t="s">
        <v>148</v>
      </c>
      <c r="F10" s="79">
        <v>-100000.0</v>
      </c>
      <c r="G10" s="65"/>
      <c r="H10" s="65"/>
      <c r="I10" s="82"/>
      <c r="J10" s="67"/>
      <c r="K10" s="65"/>
      <c r="L10" s="65"/>
    </row>
    <row r="11" ht="14.25" customHeight="1">
      <c r="A11" s="85" t="s">
        <v>149</v>
      </c>
      <c r="B11" s="83">
        <v>107274.2673024</v>
      </c>
      <c r="C11" s="61">
        <v>0.7853742389808916</v>
      </c>
      <c r="D11" s="62"/>
      <c r="E11" s="86" t="s">
        <v>150</v>
      </c>
      <c r="F11" s="87">
        <f>SUBTOTAL(9,F8:F10)</f>
        <v>-6732580</v>
      </c>
      <c r="G11" s="62"/>
      <c r="H11" s="65"/>
      <c r="I11" s="82"/>
      <c r="J11" s="67"/>
      <c r="K11" s="65"/>
      <c r="L11" s="65"/>
    </row>
    <row r="12" ht="14.25" customHeight="1">
      <c r="A12" s="85" t="s">
        <v>151</v>
      </c>
      <c r="B12" s="83">
        <v>79989.05499588</v>
      </c>
      <c r="C12" s="61">
        <v>0.27201610214201183</v>
      </c>
      <c r="D12" s="62"/>
      <c r="E12" s="88"/>
      <c r="F12" s="76"/>
      <c r="G12" s="62"/>
      <c r="H12" s="65"/>
      <c r="I12" s="82"/>
      <c r="J12" s="67"/>
      <c r="K12" s="65"/>
      <c r="L12" s="65"/>
    </row>
    <row r="13" ht="14.25" customHeight="1">
      <c r="A13" s="85" t="s">
        <v>152</v>
      </c>
      <c r="B13" s="83">
        <v>313369.9470306</v>
      </c>
      <c r="C13" s="84">
        <v>0.42706844156918683</v>
      </c>
      <c r="D13" s="62"/>
      <c r="E13" s="86" t="s">
        <v>153</v>
      </c>
      <c r="F13" s="74">
        <f>F6+F11</f>
        <v>0</v>
      </c>
      <c r="G13" s="62"/>
      <c r="H13" s="65"/>
      <c r="I13" s="82"/>
      <c r="J13" s="67"/>
      <c r="K13" s="65"/>
      <c r="L13" s="65"/>
    </row>
    <row r="14" ht="14.25" customHeight="1">
      <c r="A14" s="89" t="s">
        <v>154</v>
      </c>
      <c r="B14" s="68">
        <v>55620.3248208</v>
      </c>
      <c r="C14" s="61">
        <v>0.6773879529996346</v>
      </c>
      <c r="D14" s="90"/>
      <c r="E14" s="91"/>
      <c r="F14" s="92"/>
      <c r="G14" s="90"/>
      <c r="H14" s="90"/>
      <c r="I14" s="90"/>
      <c r="J14" s="93"/>
    </row>
    <row r="15" ht="14.25" customHeight="1">
      <c r="A15" s="94" t="s">
        <v>155</v>
      </c>
      <c r="B15" s="68">
        <v>40811.193851060816</v>
      </c>
      <c r="C15" s="95">
        <v>0.19999604945143984</v>
      </c>
      <c r="D15" s="96"/>
      <c r="E15" s="97"/>
      <c r="F15" s="98"/>
      <c r="G15" s="96"/>
      <c r="H15" s="96"/>
      <c r="I15" s="99"/>
      <c r="J15" s="93"/>
      <c r="K15" s="100"/>
    </row>
    <row r="16" ht="14.25" customHeight="1">
      <c r="A16" s="94" t="s">
        <v>156</v>
      </c>
      <c r="B16" s="68">
        <v>23245.758130018916</v>
      </c>
      <c r="C16" s="69">
        <v>0.20001512760298498</v>
      </c>
      <c r="D16" s="99"/>
      <c r="E16" s="99"/>
      <c r="F16" s="99"/>
      <c r="G16" s="99"/>
      <c r="H16" s="65"/>
      <c r="I16" s="99"/>
      <c r="J16" s="93"/>
      <c r="K16" s="101"/>
      <c r="L16" s="101"/>
      <c r="M16" s="101"/>
      <c r="N16" s="101"/>
    </row>
    <row r="17" ht="14.25" customHeight="1">
      <c r="A17" s="94" t="s">
        <v>157</v>
      </c>
      <c r="B17" s="68">
        <v>8905.581288705858</v>
      </c>
      <c r="C17" s="69">
        <v>0.2000355186142376</v>
      </c>
      <c r="D17" s="102"/>
      <c r="E17" s="65"/>
      <c r="F17" s="65"/>
      <c r="G17" s="65"/>
      <c r="H17" s="65"/>
      <c r="I17" s="65"/>
      <c r="J17" s="93"/>
      <c r="K17" s="65"/>
      <c r="L17" s="65"/>
      <c r="M17" s="65"/>
      <c r="N17" s="65"/>
    </row>
    <row r="18" ht="14.25" customHeight="1">
      <c r="A18" s="94" t="s">
        <v>158</v>
      </c>
      <c r="B18" s="68">
        <v>38736.97038061864</v>
      </c>
      <c r="C18" s="69">
        <v>0.19997403531370933</v>
      </c>
      <c r="D18" s="102"/>
      <c r="E18" s="65"/>
      <c r="F18" s="65"/>
      <c r="G18" s="65"/>
      <c r="H18" s="65"/>
      <c r="I18" s="65"/>
      <c r="J18" s="93"/>
      <c r="K18" s="65"/>
      <c r="L18" s="65"/>
      <c r="M18" s="65"/>
      <c r="N18" s="65"/>
    </row>
    <row r="19" ht="14.25" customHeight="1">
      <c r="A19" s="94" t="s">
        <v>159</v>
      </c>
      <c r="B19" s="68">
        <v>9936.079399118547</v>
      </c>
      <c r="C19" s="69">
        <v>0.20000159821092084</v>
      </c>
      <c r="D19" s="102"/>
      <c r="E19" s="65"/>
      <c r="F19" s="65"/>
      <c r="G19" s="65"/>
      <c r="H19" s="65"/>
      <c r="I19" s="65"/>
      <c r="J19" s="93"/>
      <c r="K19" s="65"/>
      <c r="L19" s="65"/>
      <c r="M19" s="65"/>
      <c r="N19" s="65"/>
    </row>
    <row r="20" ht="14.25" customHeight="1">
      <c r="A20" s="94" t="s">
        <v>160</v>
      </c>
      <c r="B20" s="68">
        <v>9044.114397225834</v>
      </c>
      <c r="C20" s="69">
        <v>0.2000467683527059</v>
      </c>
      <c r="D20" s="102"/>
      <c r="E20" s="65"/>
      <c r="F20" s="65"/>
      <c r="G20" s="65"/>
      <c r="H20" s="65"/>
      <c r="I20" s="65"/>
      <c r="J20" s="93"/>
      <c r="K20" s="65"/>
      <c r="L20" s="65"/>
      <c r="M20" s="65"/>
      <c r="N20" s="65"/>
    </row>
    <row r="21" ht="14.25" customHeight="1">
      <c r="A21" s="94" t="s">
        <v>161</v>
      </c>
      <c r="B21" s="68">
        <v>137381.59986673846</v>
      </c>
      <c r="C21" s="69">
        <v>0.2000372752071092</v>
      </c>
      <c r="D21" s="102"/>
      <c r="E21" s="65"/>
      <c r="F21" s="65"/>
      <c r="G21" s="65"/>
      <c r="H21" s="65"/>
      <c r="I21" s="65"/>
      <c r="J21" s="93"/>
      <c r="K21" s="65"/>
      <c r="L21" s="65"/>
      <c r="M21" s="65"/>
      <c r="N21" s="65"/>
    </row>
    <row r="22" ht="14.25" customHeight="1">
      <c r="A22" s="94" t="s">
        <v>162</v>
      </c>
      <c r="B22" s="68">
        <v>7488.104616158318</v>
      </c>
      <c r="C22" s="69">
        <v>0.2000027942349978</v>
      </c>
      <c r="D22" s="102"/>
      <c r="E22" s="65"/>
      <c r="F22" s="65"/>
      <c r="G22" s="65"/>
      <c r="H22" s="65"/>
      <c r="I22" s="65"/>
      <c r="J22" s="93"/>
      <c r="K22" s="65"/>
      <c r="L22" s="65"/>
      <c r="M22" s="65"/>
      <c r="N22" s="65"/>
    </row>
    <row r="23" ht="14.25" customHeight="1">
      <c r="A23" s="94" t="s">
        <v>163</v>
      </c>
      <c r="B23" s="68">
        <v>9935.270617519436</v>
      </c>
      <c r="C23" s="69">
        <v>0.19998531838807238</v>
      </c>
      <c r="D23" s="102"/>
      <c r="E23" s="65"/>
      <c r="F23" s="65"/>
      <c r="G23" s="65"/>
      <c r="H23" s="65"/>
      <c r="I23" s="65"/>
      <c r="J23" s="93"/>
      <c r="K23" s="65"/>
      <c r="L23" s="65"/>
      <c r="M23" s="65"/>
      <c r="N23" s="65"/>
    </row>
    <row r="24" ht="14.25" customHeight="1">
      <c r="A24" s="94" t="s">
        <v>164</v>
      </c>
      <c r="B24" s="68">
        <v>9936.079399118547</v>
      </c>
      <c r="C24" s="69">
        <v>0.20000159821092084</v>
      </c>
      <c r="D24" s="102"/>
      <c r="E24" s="65"/>
      <c r="F24" s="65"/>
      <c r="G24" s="65"/>
      <c r="H24" s="65"/>
      <c r="I24" s="65"/>
      <c r="J24" s="93"/>
      <c r="K24" s="65"/>
      <c r="L24" s="65"/>
      <c r="M24" s="65"/>
      <c r="N24" s="65"/>
    </row>
    <row r="25" ht="14.25" customHeight="1">
      <c r="A25" s="94" t="s">
        <v>165</v>
      </c>
      <c r="B25" s="68">
        <v>7488.0</v>
      </c>
      <c r="C25" s="69">
        <v>0.2</v>
      </c>
      <c r="D25" s="102"/>
      <c r="E25" s="65"/>
      <c r="F25" s="65"/>
      <c r="G25" s="65"/>
      <c r="H25" s="65"/>
      <c r="I25" s="65"/>
      <c r="J25" s="93"/>
      <c r="K25" s="65"/>
      <c r="L25" s="65"/>
      <c r="M25" s="65"/>
      <c r="N25" s="65"/>
    </row>
    <row r="26" ht="14.25" customHeight="1">
      <c r="A26" s="94" t="s">
        <v>166</v>
      </c>
      <c r="B26" s="68">
        <v>110313.48406961441</v>
      </c>
      <c r="C26" s="69">
        <v>0.2000389585275712</v>
      </c>
      <c r="D26" s="102"/>
      <c r="E26" s="65"/>
      <c r="F26" s="65"/>
      <c r="G26" s="65"/>
      <c r="H26" s="65"/>
      <c r="I26" s="65"/>
      <c r="J26" s="93"/>
      <c r="K26" s="65"/>
      <c r="L26" s="65"/>
      <c r="M26" s="65"/>
      <c r="N26" s="65"/>
    </row>
    <row r="27" ht="14.25" customHeight="1">
      <c r="A27" s="59" t="s">
        <v>167</v>
      </c>
      <c r="B27" s="68">
        <v>48630.81360541795</v>
      </c>
      <c r="C27" s="69">
        <v>0.20002802568862268</v>
      </c>
      <c r="D27" s="102"/>
      <c r="E27" s="65"/>
      <c r="F27" s="65"/>
      <c r="G27" s="65"/>
      <c r="H27" s="65"/>
      <c r="I27" s="65"/>
      <c r="J27" s="93"/>
      <c r="K27" s="65"/>
      <c r="L27" s="65"/>
      <c r="M27" s="65"/>
      <c r="N27" s="65"/>
    </row>
    <row r="28" ht="14.25" customHeight="1">
      <c r="A28" s="103" t="s">
        <v>28</v>
      </c>
      <c r="B28" s="104">
        <v>23456.23904448</v>
      </c>
      <c r="C28" s="105">
        <v>0.5268697000107817</v>
      </c>
      <c r="D28" s="102"/>
      <c r="E28" s="65"/>
      <c r="F28" s="65"/>
      <c r="G28" s="65"/>
      <c r="H28" s="65"/>
      <c r="I28" s="65"/>
      <c r="J28" s="93"/>
      <c r="K28" s="65"/>
      <c r="L28" s="65"/>
      <c r="M28" s="65"/>
      <c r="N28" s="65"/>
    </row>
    <row r="29" ht="14.25" customHeight="1">
      <c r="A29" s="106" t="s">
        <v>168</v>
      </c>
      <c r="B29" s="107">
        <f>SUBTOTAL(9, B3:B28)</f>
        <v>2775195.733</v>
      </c>
      <c r="C29" s="108"/>
      <c r="D29" s="102"/>
      <c r="E29" s="65"/>
      <c r="F29" s="65"/>
      <c r="G29" s="65"/>
      <c r="H29" s="65"/>
      <c r="I29" s="65"/>
      <c r="J29" s="93"/>
      <c r="K29" s="65"/>
      <c r="L29" s="65"/>
      <c r="M29" s="65"/>
      <c r="N29" s="65"/>
    </row>
    <row r="30" ht="14.25" customHeight="1">
      <c r="A30" s="109" t="s">
        <v>169</v>
      </c>
      <c r="B30" s="110">
        <v>157384.0</v>
      </c>
      <c r="C30" s="111">
        <v>0.1</v>
      </c>
      <c r="D30" s="102"/>
      <c r="E30" s="65"/>
      <c r="F30" s="65"/>
      <c r="G30" s="65"/>
      <c r="H30" s="65"/>
      <c r="I30" s="65"/>
      <c r="J30" s="93"/>
      <c r="K30" s="65"/>
      <c r="L30" s="65"/>
      <c r="M30" s="65"/>
      <c r="N30" s="65"/>
    </row>
    <row r="31" ht="14.25" customHeight="1">
      <c r="A31" s="106" t="s">
        <v>170</v>
      </c>
      <c r="B31" s="107">
        <f>SUBTOTAL(9,B2:B29)</f>
        <v>2775195.733</v>
      </c>
      <c r="C31" s="112"/>
      <c r="D31" s="113"/>
      <c r="E31" s="65"/>
      <c r="F31" s="65"/>
      <c r="G31" s="65"/>
      <c r="H31" s="65"/>
      <c r="I31" s="65"/>
      <c r="J31" s="93"/>
      <c r="K31" s="65"/>
      <c r="L31" s="65"/>
      <c r="M31" s="65"/>
      <c r="N31" s="65"/>
    </row>
    <row r="32" ht="14.25" customHeight="1">
      <c r="A32" s="114"/>
      <c r="B32" s="115"/>
      <c r="C32" s="62"/>
      <c r="D32" s="116"/>
      <c r="E32" s="62"/>
      <c r="F32" s="62"/>
      <c r="G32" s="62"/>
      <c r="H32" s="62"/>
      <c r="I32" s="62"/>
      <c r="J32" s="117"/>
      <c r="K32" s="62"/>
      <c r="L32" s="62"/>
      <c r="M32" s="62"/>
      <c r="N32" s="62"/>
      <c r="O32" s="118"/>
      <c r="P32" s="118"/>
      <c r="Q32" s="118"/>
      <c r="R32" s="118"/>
      <c r="S32" s="118"/>
      <c r="T32" s="118"/>
      <c r="U32" s="118"/>
    </row>
  </sheetData>
  <mergeCells count="4">
    <mergeCell ref="A1:C1"/>
    <mergeCell ref="E1:F1"/>
    <mergeCell ref="H1:I1"/>
    <mergeCell ref="K15:M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7.25"/>
    <col customWidth="1" min="5" max="5" width="21.5"/>
    <col customWidth="1" min="6" max="6" width="18.13"/>
  </cols>
  <sheetData>
    <row r="1">
      <c r="A1" s="119" t="s">
        <v>171</v>
      </c>
    </row>
    <row r="2">
      <c r="A2" s="120"/>
      <c r="B2" s="120"/>
      <c r="C2" s="120"/>
      <c r="D2" s="120"/>
      <c r="E2" s="121"/>
      <c r="F2" s="121"/>
      <c r="G2" s="121"/>
      <c r="H2" s="121"/>
    </row>
    <row r="3">
      <c r="A3" s="122" t="s">
        <v>172</v>
      </c>
      <c r="B3" s="122" t="s">
        <v>173</v>
      </c>
      <c r="C3" s="122" t="s">
        <v>174</v>
      </c>
      <c r="D3" s="122" t="s">
        <v>175</v>
      </c>
      <c r="E3" s="122" t="s">
        <v>176</v>
      </c>
      <c r="F3" s="122" t="s">
        <v>177</v>
      </c>
      <c r="G3" s="122" t="s">
        <v>178</v>
      </c>
      <c r="H3" s="122" t="s">
        <v>179</v>
      </c>
    </row>
    <row r="4">
      <c r="A4" s="123">
        <v>92650.0</v>
      </c>
      <c r="B4" s="120">
        <v>33.0</v>
      </c>
      <c r="C4" s="120">
        <v>40.0</v>
      </c>
      <c r="D4" s="120">
        <v>18.0</v>
      </c>
      <c r="E4" s="120">
        <v>13.0</v>
      </c>
      <c r="F4" s="120">
        <v>3.08</v>
      </c>
      <c r="G4" s="120">
        <v>3.9</v>
      </c>
      <c r="H4" s="120">
        <v>12.0</v>
      </c>
    </row>
    <row r="5">
      <c r="A5" s="120"/>
      <c r="B5" s="120"/>
      <c r="C5" s="120"/>
      <c r="D5" s="120"/>
      <c r="E5" s="121"/>
      <c r="F5" s="121"/>
      <c r="G5" s="121"/>
      <c r="H5" s="121"/>
    </row>
    <row r="6">
      <c r="A6" s="122" t="s">
        <v>180</v>
      </c>
      <c r="B6" s="122" t="s">
        <v>173</v>
      </c>
      <c r="C6" s="122" t="s">
        <v>174</v>
      </c>
      <c r="D6" s="122" t="s">
        <v>175</v>
      </c>
      <c r="E6" s="122" t="s">
        <v>176</v>
      </c>
      <c r="F6" s="122" t="s">
        <v>177</v>
      </c>
      <c r="G6" s="122" t="s">
        <v>178</v>
      </c>
      <c r="H6" s="122" t="s">
        <v>179</v>
      </c>
    </row>
    <row r="7">
      <c r="A7" s="123">
        <v>30900.0</v>
      </c>
      <c r="B7" s="120">
        <v>33.0</v>
      </c>
      <c r="C7" s="120">
        <v>40.0</v>
      </c>
      <c r="D7" s="120">
        <v>18.0</v>
      </c>
      <c r="E7" s="120">
        <v>13.0</v>
      </c>
      <c r="F7" s="120">
        <v>3.08</v>
      </c>
      <c r="G7" s="120">
        <v>1.3</v>
      </c>
      <c r="H7" s="120">
        <v>4.0</v>
      </c>
    </row>
    <row r="8">
      <c r="A8" s="120"/>
      <c r="B8" s="120"/>
      <c r="C8" s="120"/>
      <c r="D8" s="120"/>
      <c r="E8" s="121"/>
      <c r="F8" s="121"/>
      <c r="G8" s="121"/>
      <c r="H8" s="121"/>
    </row>
    <row r="9">
      <c r="A9" s="122" t="s">
        <v>181</v>
      </c>
      <c r="B9" s="122" t="s">
        <v>182</v>
      </c>
      <c r="C9" s="122" t="s">
        <v>174</v>
      </c>
      <c r="D9" s="122" t="s">
        <v>175</v>
      </c>
      <c r="E9" s="122" t="s">
        <v>176</v>
      </c>
      <c r="F9" s="122" t="s">
        <v>177</v>
      </c>
      <c r="G9" s="122" t="s">
        <v>178</v>
      </c>
      <c r="H9" s="122" t="s">
        <v>179</v>
      </c>
    </row>
    <row r="10">
      <c r="A10" s="123">
        <v>20500.0</v>
      </c>
      <c r="B10" s="120">
        <v>13.0</v>
      </c>
      <c r="C10" s="120">
        <v>40.0</v>
      </c>
      <c r="D10" s="120">
        <v>18.0</v>
      </c>
      <c r="E10" s="120">
        <v>25.0</v>
      </c>
      <c r="F10" s="120">
        <v>1.6</v>
      </c>
      <c r="G10" s="120">
        <v>2.19</v>
      </c>
      <c r="H10" s="120">
        <v>3.5</v>
      </c>
    </row>
    <row r="11">
      <c r="A11" s="120"/>
      <c r="B11" s="120"/>
      <c r="C11" s="120"/>
      <c r="D11" s="120"/>
      <c r="E11" s="121"/>
      <c r="F11" s="121"/>
      <c r="G11" s="121"/>
      <c r="H11" s="121"/>
    </row>
    <row r="12">
      <c r="A12" s="122" t="s">
        <v>183</v>
      </c>
      <c r="B12" s="122" t="s">
        <v>182</v>
      </c>
      <c r="C12" s="122" t="s">
        <v>174</v>
      </c>
      <c r="D12" s="122" t="s">
        <v>175</v>
      </c>
      <c r="E12" s="122" t="s">
        <v>176</v>
      </c>
      <c r="F12" s="122" t="s">
        <v>177</v>
      </c>
      <c r="G12" s="122" t="s">
        <v>178</v>
      </c>
      <c r="H12" s="122" t="s">
        <v>179</v>
      </c>
    </row>
    <row r="13">
      <c r="A13" s="123">
        <v>5950.0</v>
      </c>
      <c r="B13" s="120">
        <v>13.0</v>
      </c>
      <c r="C13" s="120">
        <v>40.0</v>
      </c>
      <c r="D13" s="120">
        <v>18.0</v>
      </c>
      <c r="E13" s="120">
        <v>25.0</v>
      </c>
      <c r="F13" s="120">
        <v>1.6</v>
      </c>
      <c r="G13" s="120">
        <v>0.64</v>
      </c>
      <c r="H13" s="120">
        <v>1.02</v>
      </c>
    </row>
    <row r="14">
      <c r="A14" s="120"/>
      <c r="B14" s="120"/>
      <c r="C14" s="120"/>
      <c r="D14" s="120"/>
      <c r="E14" s="121"/>
      <c r="F14" s="121"/>
      <c r="G14" s="121"/>
      <c r="H14" s="121"/>
    </row>
    <row r="15">
      <c r="A15" s="124" t="s">
        <v>184</v>
      </c>
      <c r="D15" s="125">
        <v>113150.0</v>
      </c>
      <c r="E15" s="126"/>
      <c r="F15" s="126"/>
      <c r="G15" s="126"/>
      <c r="H15" s="126"/>
    </row>
    <row r="16">
      <c r="A16" s="124" t="s">
        <v>185</v>
      </c>
      <c r="D16" s="127">
        <v>36850.0</v>
      </c>
      <c r="E16" s="126"/>
      <c r="F16" s="126"/>
      <c r="G16" s="126"/>
      <c r="H16" s="126"/>
    </row>
  </sheetData>
  <mergeCells count="3">
    <mergeCell ref="A1:H1"/>
    <mergeCell ref="A15:C15"/>
    <mergeCell ref="A16:C16"/>
  </mergeCells>
  <drawing r:id="rId1"/>
</worksheet>
</file>